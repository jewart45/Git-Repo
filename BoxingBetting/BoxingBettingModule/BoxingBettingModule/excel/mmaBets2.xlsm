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war\source\repos\MMABetting\MMABettingModule\MMABettingModule\excel\"/>
    </mc:Choice>
  </mc:AlternateContent>
  <bookViews>
    <workbookView xWindow="0" yWindow="0" windowWidth="9600" windowHeight="2970"/>
  </bookViews>
  <sheets>
    <sheet name="Sheet1" sheetId="1" r:id="rId1"/>
    <sheet name="Bets" sheetId="3" r:id="rId2"/>
    <sheet name="Pivot" sheetId="10" r:id="rId3"/>
  </sheets>
  <calcPr calcId="15251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7" i="3" l="1"/>
  <c r="I66" i="3"/>
  <c r="J66" i="3" s="1"/>
  <c r="J67" i="3" s="1"/>
  <c r="I61" i="3"/>
  <c r="I68" i="3"/>
  <c r="I69" i="3"/>
  <c r="I70" i="3"/>
  <c r="I71" i="3"/>
  <c r="I72" i="3"/>
  <c r="I73" i="3"/>
  <c r="I74" i="3"/>
  <c r="I75" i="3"/>
  <c r="F68" i="1" l="1"/>
  <c r="F67" i="1"/>
  <c r="F41" i="1"/>
  <c r="F40" i="1"/>
  <c r="I47" i="3" l="1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F66" i="1"/>
  <c r="F65" i="1"/>
  <c r="F10" i="1"/>
  <c r="I46" i="3" l="1"/>
  <c r="I43" i="3"/>
  <c r="I44" i="3"/>
  <c r="I45" i="3"/>
  <c r="AA8" i="1"/>
  <c r="Z9" i="1"/>
  <c r="AA9" i="1" s="1"/>
  <c r="AA4" i="1"/>
  <c r="Z4" i="1"/>
  <c r="F79" i="1"/>
  <c r="F78" i="1"/>
  <c r="F64" i="1"/>
  <c r="F63" i="1"/>
  <c r="F37" i="1"/>
  <c r="F8" i="1"/>
  <c r="I42" i="3" l="1"/>
  <c r="I36" i="3"/>
  <c r="I37" i="3"/>
  <c r="I38" i="3"/>
  <c r="I39" i="3"/>
  <c r="I40" i="3"/>
  <c r="I41" i="3"/>
  <c r="F76" i="1"/>
  <c r="F29" i="1"/>
  <c r="F75" i="1" l="1"/>
  <c r="F74" i="1"/>
  <c r="F34" i="1" l="1"/>
  <c r="F33" i="1"/>
  <c r="F73" i="1"/>
  <c r="F72" i="1"/>
  <c r="I33" i="3"/>
  <c r="I34" i="3"/>
  <c r="I35" i="3"/>
  <c r="F61" i="1"/>
  <c r="F60" i="1"/>
  <c r="F27" i="1"/>
  <c r="F26" i="1"/>
  <c r="I22" i="3"/>
  <c r="I23" i="3"/>
  <c r="I24" i="3"/>
  <c r="I25" i="3"/>
  <c r="I26" i="3"/>
  <c r="I27" i="3"/>
  <c r="I28" i="3"/>
  <c r="I29" i="3"/>
  <c r="I30" i="3"/>
  <c r="I31" i="3"/>
  <c r="I32" i="3"/>
  <c r="F89" i="1" l="1"/>
  <c r="F88" i="1"/>
  <c r="F16" i="1"/>
  <c r="F15" i="1"/>
  <c r="F51" i="1"/>
  <c r="F50" i="1"/>
  <c r="F49" i="1"/>
  <c r="F48" i="1"/>
  <c r="F47" i="1"/>
  <c r="F46" i="1"/>
  <c r="F32" i="1"/>
  <c r="I3" i="3" l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" i="3"/>
  <c r="F59" i="1" l="1"/>
  <c r="F58" i="1"/>
  <c r="F82" i="1" l="1"/>
  <c r="F81" i="1"/>
  <c r="F25" i="1"/>
  <c r="F24" i="1"/>
  <c r="F71" i="1" l="1"/>
  <c r="F70" i="1"/>
  <c r="J2" i="3" l="1"/>
  <c r="J3" i="3" s="1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K2" i="3" l="1"/>
  <c r="J43" i="3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8" i="3" s="1"/>
  <c r="J69" i="3" s="1"/>
  <c r="J70" i="3" s="1"/>
  <c r="J71" i="3" s="1"/>
  <c r="J72" i="3" s="1"/>
  <c r="J73" i="3" s="1"/>
  <c r="J74" i="3" s="1"/>
  <c r="J75" i="3" s="1"/>
  <c r="F22" i="1"/>
  <c r="N2" i="3" l="1"/>
  <c r="L2" i="3"/>
  <c r="M2" i="3"/>
  <c r="F87" i="1"/>
  <c r="F86" i="1"/>
  <c r="F21" i="1" l="1"/>
  <c r="F20" i="1"/>
  <c r="F57" i="1" l="1"/>
  <c r="F56" i="1"/>
  <c r="F19" i="1"/>
  <c r="F18" i="1"/>
  <c r="F7" i="1" l="1"/>
  <c r="F6" i="1"/>
  <c r="F5" i="1"/>
  <c r="F4" i="1"/>
  <c r="F3" i="1" l="1"/>
  <c r="F2" i="1"/>
  <c r="F55" i="1"/>
</calcChain>
</file>

<file path=xl/sharedStrings.xml><?xml version="1.0" encoding="utf-8"?>
<sst xmlns="http://schemas.openxmlformats.org/spreadsheetml/2006/main" count="672" uniqueCount="255">
  <si>
    <t>FIGHTER</t>
  </si>
  <si>
    <t>WINS</t>
  </si>
  <si>
    <t>LOSSES</t>
  </si>
  <si>
    <t>DRAW/NC</t>
  </si>
  <si>
    <t>HANDS</t>
  </si>
  <si>
    <t>FEET</t>
  </si>
  <si>
    <t>WRESTLING</t>
  </si>
  <si>
    <t>BJJ</t>
  </si>
  <si>
    <t>CHIN</t>
  </si>
  <si>
    <t>AGE</t>
  </si>
  <si>
    <t>McGregor</t>
  </si>
  <si>
    <t>REACH</t>
  </si>
  <si>
    <t>DIVISION</t>
  </si>
  <si>
    <t>LEAGUE</t>
  </si>
  <si>
    <t>UFC</t>
  </si>
  <si>
    <t>LW</t>
  </si>
  <si>
    <t>EXPERIENCE</t>
  </si>
  <si>
    <t>W/ KO</t>
  </si>
  <si>
    <t>W/ SUB</t>
  </si>
  <si>
    <t>W/ DEC</t>
  </si>
  <si>
    <t>L/ KO</t>
  </si>
  <si>
    <t>L/SUB</t>
  </si>
  <si>
    <t>L/DEC</t>
  </si>
  <si>
    <t>Rousey</t>
  </si>
  <si>
    <t>BW</t>
  </si>
  <si>
    <t>Nunes</t>
  </si>
  <si>
    <t>STANCE</t>
  </si>
  <si>
    <t>G</t>
  </si>
  <si>
    <t>O</t>
  </si>
  <si>
    <t>Cruz</t>
  </si>
  <si>
    <t>STAMINA</t>
  </si>
  <si>
    <t>TIMING</t>
  </si>
  <si>
    <t>POWER</t>
  </si>
  <si>
    <t>Garbrandt</t>
  </si>
  <si>
    <t>Clean hard shots, quick and good chin</t>
  </si>
  <si>
    <t>Dillashaw</t>
  </si>
  <si>
    <t>Lineker</t>
  </si>
  <si>
    <t>Date</t>
  </si>
  <si>
    <t>Fight</t>
  </si>
  <si>
    <t>Type</t>
  </si>
  <si>
    <t>Pick</t>
  </si>
  <si>
    <t>Odds</t>
  </si>
  <si>
    <t>31/12/2016</t>
  </si>
  <si>
    <t>Nunes/Rousey</t>
  </si>
  <si>
    <t>Straight</t>
  </si>
  <si>
    <t>O/U</t>
  </si>
  <si>
    <t>&lt;1.5</t>
  </si>
  <si>
    <t>Garbrandt/Cruz</t>
  </si>
  <si>
    <t>To Win</t>
  </si>
  <si>
    <t>Dillashaw/Lineker</t>
  </si>
  <si>
    <t>Kim</t>
  </si>
  <si>
    <t>Kim/Saffedine</t>
  </si>
  <si>
    <t>Win</t>
  </si>
  <si>
    <t>Result</t>
  </si>
  <si>
    <t>FW</t>
  </si>
  <si>
    <t>Rodriguez</t>
  </si>
  <si>
    <t>Penn</t>
  </si>
  <si>
    <t>Penn/Rodriguez</t>
  </si>
  <si>
    <t>&gt;2.5</t>
  </si>
  <si>
    <t>Held</t>
  </si>
  <si>
    <t>Lauzon</t>
  </si>
  <si>
    <t>White</t>
  </si>
  <si>
    <t>Martin</t>
  </si>
  <si>
    <t>Win Loss Loss(KO) Win(KO)</t>
  </si>
  <si>
    <t xml:space="preserve">Win Loss Win Loss </t>
  </si>
  <si>
    <t>Masvidal</t>
  </si>
  <si>
    <t>WW</t>
  </si>
  <si>
    <t>Cerrone</t>
  </si>
  <si>
    <t>Win Win Loss Good use of range</t>
  </si>
  <si>
    <t>Caceres</t>
  </si>
  <si>
    <t>Knight</t>
  </si>
  <si>
    <t>Loss Yair, win win</t>
  </si>
  <si>
    <t>Wins but all decision. Straightforward fighter</t>
  </si>
  <si>
    <t>Lose</t>
  </si>
  <si>
    <t>Shevchenko/Pena</t>
  </si>
  <si>
    <t>Shevchenko</t>
  </si>
  <si>
    <t>Masvidal/Cerrone</t>
  </si>
  <si>
    <t>&lt;2.5</t>
  </si>
  <si>
    <t>Arlofski/Ngannou</t>
  </si>
  <si>
    <t>Carceres/Knight</t>
  </si>
  <si>
    <t>Martin/White</t>
  </si>
  <si>
    <t>Saunders/McGee</t>
  </si>
  <si>
    <t>Moussai</t>
  </si>
  <si>
    <t>MW</t>
  </si>
  <si>
    <t>Weidman</t>
  </si>
  <si>
    <t>Methodical, Fedor like of the MW Div</t>
  </si>
  <si>
    <t>Row Labels</t>
  </si>
  <si>
    <t>Grand Total</t>
  </si>
  <si>
    <t>Sum of Odds</t>
  </si>
  <si>
    <t>Payout</t>
  </si>
  <si>
    <t>Sum of Payout</t>
  </si>
  <si>
    <t>Running Total</t>
  </si>
  <si>
    <t>(blank)</t>
  </si>
  <si>
    <t>Count of Type</t>
  </si>
  <si>
    <t>Bet</t>
  </si>
  <si>
    <t>&lt;4.5</t>
  </si>
  <si>
    <t>Randamie</t>
  </si>
  <si>
    <t>Holm/Randamie</t>
  </si>
  <si>
    <t>Jung</t>
  </si>
  <si>
    <t>Bermudez</t>
  </si>
  <si>
    <t>Herrig</t>
  </si>
  <si>
    <t>Grasso</t>
  </si>
  <si>
    <t>Fortuna</t>
  </si>
  <si>
    <t>Hamilton</t>
  </si>
  <si>
    <t>SW</t>
  </si>
  <si>
    <t>Muay thai win streak</t>
  </si>
  <si>
    <t>50/50 Muay thai</t>
  </si>
  <si>
    <t>Vick</t>
  </si>
  <si>
    <t>Trujillo</t>
  </si>
  <si>
    <t>Grasso/Herrig</t>
  </si>
  <si>
    <t>Jong/Bermudez</t>
  </si>
  <si>
    <t>Jong</t>
  </si>
  <si>
    <t>Fortuna/Hamilton</t>
  </si>
  <si>
    <t>Vick/Trujilo</t>
  </si>
  <si>
    <t>FO</t>
  </si>
  <si>
    <t>Vick KO</t>
  </si>
  <si>
    <t>Trujilo</t>
  </si>
  <si>
    <t>Parlay</t>
  </si>
  <si>
    <t>Jong/Herrig/Bermudez</t>
  </si>
  <si>
    <t>Silva/Brunson</t>
  </si>
  <si>
    <t>Silva</t>
  </si>
  <si>
    <t>HW</t>
  </si>
  <si>
    <t>Jiu Jitsu fighter with dece hands</t>
  </si>
  <si>
    <t>Wrestler big power but wild and old</t>
  </si>
  <si>
    <t>LHW</t>
  </si>
  <si>
    <t>Brunson</t>
  </si>
  <si>
    <t>Purple belt bjj lots 1 round Kos</t>
  </si>
  <si>
    <t>Boetsch</t>
  </si>
  <si>
    <t>Souza</t>
  </si>
  <si>
    <t>BJJ Specialist</t>
  </si>
  <si>
    <t>Cannonier</t>
  </si>
  <si>
    <t>Boxer with decent power and good footwork</t>
  </si>
  <si>
    <t>Teixeira</t>
  </si>
  <si>
    <t>JiuJitsu, KO Power</t>
  </si>
  <si>
    <t>McCall</t>
  </si>
  <si>
    <t>FlW</t>
  </si>
  <si>
    <t>Brooks</t>
  </si>
  <si>
    <t>Teixeria/Cannonier</t>
  </si>
  <si>
    <t>Randamie/Silva/Teixeira</t>
  </si>
  <si>
    <t>Muhammad</t>
  </si>
  <si>
    <t>Randy Brown</t>
  </si>
  <si>
    <t>Solid Streak with lots of finishes</t>
  </si>
  <si>
    <t>Coming off loss</t>
  </si>
  <si>
    <t>Muhammad/Brown</t>
  </si>
  <si>
    <t>Brown</t>
  </si>
  <si>
    <t>Lentz/Makhachev</t>
  </si>
  <si>
    <t>Lentz</t>
  </si>
  <si>
    <t>Nover/Glenn</t>
  </si>
  <si>
    <t>Nover</t>
  </si>
  <si>
    <t>Total:</t>
  </si>
  <si>
    <t>Losing record in UFC</t>
  </si>
  <si>
    <t>Glenn</t>
  </si>
  <si>
    <t>Lost to evan dunham once in ufc by decision</t>
  </si>
  <si>
    <t>BJJ Puple</t>
  </si>
  <si>
    <t>Makhachev</t>
  </si>
  <si>
    <t>Sambo</t>
  </si>
  <si>
    <t>Holm Sub</t>
  </si>
  <si>
    <t>Brunson/Silva</t>
  </si>
  <si>
    <t>Brunson KO</t>
  </si>
  <si>
    <t>Lentz Sub</t>
  </si>
  <si>
    <t>Theodorou</t>
  </si>
  <si>
    <t>Ferreira</t>
  </si>
  <si>
    <t>Kickboxing sam alvey</t>
  </si>
  <si>
    <t>BJJ Specialist Hermansson</t>
  </si>
  <si>
    <t>7?</t>
  </si>
  <si>
    <t>Browne</t>
  </si>
  <si>
    <t>Lewis</t>
  </si>
  <si>
    <t>Lombard</t>
  </si>
  <si>
    <t>Hendricks</t>
  </si>
  <si>
    <t>Tucker</t>
  </si>
  <si>
    <t>Sicilia</t>
  </si>
  <si>
    <t>Santos</t>
  </si>
  <si>
    <t>Marshman</t>
  </si>
  <si>
    <t>Brown/Lewis</t>
  </si>
  <si>
    <t>Lombard/Hendricks</t>
  </si>
  <si>
    <t>Sicilia/Tucker</t>
  </si>
  <si>
    <t>Marshman/Santos</t>
  </si>
  <si>
    <t>All</t>
  </si>
  <si>
    <t>Alcantara</t>
  </si>
  <si>
    <t>Sanders</t>
  </si>
  <si>
    <t>Pedro</t>
  </si>
  <si>
    <t>Craig</t>
  </si>
  <si>
    <t>Zahabi</t>
  </si>
  <si>
    <t>Won debut</t>
  </si>
  <si>
    <t>Vieira</t>
  </si>
  <si>
    <t>1-1UFC Lots of guillotines</t>
  </si>
  <si>
    <t>Miocic</t>
  </si>
  <si>
    <t>Spitz</t>
  </si>
  <si>
    <t>2 weeks notice</t>
  </si>
  <si>
    <t>Godbeer</t>
  </si>
  <si>
    <t>Changeup from todd duffee</t>
  </si>
  <si>
    <t>could go either way but yeah they both suck.</t>
  </si>
  <si>
    <t>Henrique</t>
  </si>
  <si>
    <t>Tybura</t>
  </si>
  <si>
    <t>Teymur</t>
  </si>
  <si>
    <t>Vannata</t>
  </si>
  <si>
    <t>Under 1.5 for sure</t>
  </si>
  <si>
    <t>Nurmagomedov</t>
  </si>
  <si>
    <t>Kelly</t>
  </si>
  <si>
    <t>S</t>
  </si>
  <si>
    <t>Evans</t>
  </si>
  <si>
    <t>Odds Check</t>
  </si>
  <si>
    <t>-</t>
  </si>
  <si>
    <t>+</t>
  </si>
  <si>
    <t>% Check</t>
  </si>
  <si>
    <t>Lombard Sub</t>
  </si>
  <si>
    <t>Brown W 4</t>
  </si>
  <si>
    <t>Brown W 5</t>
  </si>
  <si>
    <t>Vierra/Zahabi</t>
  </si>
  <si>
    <t>Vierra</t>
  </si>
  <si>
    <t>Woodly/Thomson</t>
  </si>
  <si>
    <t>Hunt/Overeem</t>
  </si>
  <si>
    <t>Henrique/Tybura</t>
  </si>
  <si>
    <t>Vanatta/Teymur</t>
  </si>
  <si>
    <t>Craig/Pedro</t>
  </si>
  <si>
    <t>&gt;1.5</t>
  </si>
  <si>
    <t>Woodley/Khabib/Evans/Henrique</t>
  </si>
  <si>
    <t>Morales</t>
  </si>
  <si>
    <t>Purple BJJJ, Loss vs almeida, perez draw</t>
  </si>
  <si>
    <t>Soukhamthath</t>
  </si>
  <si>
    <t>Moy, Nordby (No Videos I can find)</t>
  </si>
  <si>
    <t>Dariush</t>
  </si>
  <si>
    <t>Magomedov, Vick (win ko), lose chiesa BJJ Black</t>
  </si>
  <si>
    <t>Barboza</t>
  </si>
  <si>
    <t>Brazilian Kickboxer, Melendez, Pettis, Ferguson</t>
  </si>
  <si>
    <t>Cooper</t>
  </si>
  <si>
    <t>Elmose, Suarez</t>
  </si>
  <si>
    <t>Calvillo</t>
  </si>
  <si>
    <t>Stewart,Robertson</t>
  </si>
  <si>
    <t>Woodley Sub</t>
  </si>
  <si>
    <t>Thomson KO</t>
  </si>
  <si>
    <t>Hunt Rd 2</t>
  </si>
  <si>
    <t>Ends 2</t>
  </si>
  <si>
    <t>Henrique rd 3</t>
  </si>
  <si>
    <t>Pedro Dec</t>
  </si>
  <si>
    <t>Craig Dec</t>
  </si>
  <si>
    <t>Struve</t>
  </si>
  <si>
    <t>Volkov</t>
  </si>
  <si>
    <t>Overeem, Nogueira, omielanczuk</t>
  </si>
  <si>
    <t>Nelson, Johnson, Vegh</t>
  </si>
  <si>
    <t>Khabilov</t>
  </si>
  <si>
    <t>Sambo, Saggo, silva</t>
  </si>
  <si>
    <t>Green</t>
  </si>
  <si>
    <t>Emmet, Brown, Freeman</t>
  </si>
  <si>
    <t>Holloway/Aldo</t>
  </si>
  <si>
    <t>Aldo</t>
  </si>
  <si>
    <t>Ngannou/Overeem</t>
  </si>
  <si>
    <t>Ngannou</t>
  </si>
  <si>
    <t>Tybura/Werdum</t>
  </si>
  <si>
    <t>Masvidal/Thomson</t>
  </si>
  <si>
    <t>Dillashaw/Garbrandt</t>
  </si>
  <si>
    <t>&lt;3.5</t>
  </si>
  <si>
    <t>StPierre/Bisbing</t>
  </si>
  <si>
    <t>StPierre</t>
  </si>
  <si>
    <t>Nunes/Schevchenko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</si>
</sst>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_-[$£-809]* #,##0.00_-;\-[$£-809]* #,##0.00_-;_-[$£-809]* &quot;-&quot;??_-;_-@_-"/>
    <numFmt numFmtId="165" formatCode="dd/mm/yyyy"/>
  </numFmts>
  <fonts count="4" x14ac:knownFonts="1">
    <font>
      <sz val="11"/>
      <color theme="1"/>
      <name val="Calibri"/>
      <family val="2"/>
      <scheme val="minor"/>
    </font>
    <font>
      <sz val="11"/>
      <color rgb="FF36363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2" fontId="1" fillId="0" borderId="0" xfId="0" applyNumberFormat="1" applyFont="1" applyAlignment="1">
      <alignment vertical="center" wrapText="1"/>
    </xf>
    <xf numFmtId="14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4" fontId="0" fillId="2" borderId="1" xfId="0" applyNumberFormat="1" applyFont="1" applyFill="1" applyBorder="1"/>
    <xf numFmtId="0" fontId="0" fillId="2" borderId="2" xfId="0" applyFont="1" applyFill="1" applyBorder="1"/>
    <xf numFmtId="14" fontId="0" fillId="0" borderId="1" xfId="0" applyNumberFormat="1" applyFont="1" applyBorder="1"/>
    <xf numFmtId="0" fontId="0" fillId="0" borderId="2" xfId="0" applyFont="1" applyBorder="1"/>
    <xf numFmtId="165" fontId="0" fillId="0" borderId="0" xfId="0" applyNumberFormat="1"/>
    <xf numFmtId="0" fontId="2" fillId="0" borderId="0" xfId="0" applyFont="1" applyAlignment="1">
      <alignment horizontal="center"/>
    </xf>
    <xf numFmtId="9" fontId="2" fillId="0" borderId="0" xfId="0" applyNumberFormat="1" applyFont="1"/>
    <xf numFmtId="164" fontId="0" fillId="0" borderId="0" xfId="1" applyNumberFormat="1" applyFont="1"/>
    <xf numFmtId="164" fontId="0" fillId="0" borderId="2" xfId="1" applyNumberFormat="1" applyFont="1" applyBorder="1"/>
    <xf numFmtId="164" fontId="0" fillId="2" borderId="2" xfId="1" applyNumberFormat="1" applyFont="1" applyFill="1" applyBorder="1"/>
    <xf numFmtId="0" fontId="0" fillId="3" borderId="0" xfId="0" applyFill="1"/>
    <xf numFmtId="0" fontId="0" fillId="3" borderId="0" xfId="0" applyNumberFormat="1" applyFill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0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4"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5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Bets!$J$1</c:f>
              <c:strCache>
                <c:ptCount val="1"/>
                <c:pt idx="0">
                  <c:v>Running 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Bets!$J$2:$J$90</c:f>
              <c:numCache>
                <c:formatCode>General</c:formatCode>
                <c:ptCount val="89"/>
                <c:pt idx="0">
                  <c:v>86.68</c:v>
                </c:pt>
                <c:pt idx="1">
                  <c:v>88.68</c:v>
                </c:pt>
                <c:pt idx="2">
                  <c:v>93.18</c:v>
                </c:pt>
                <c:pt idx="3">
                  <c:v>94.18</c:v>
                </c:pt>
                <c:pt idx="4">
                  <c:v>97.18</c:v>
                </c:pt>
                <c:pt idx="5">
                  <c:v>94.18</c:v>
                </c:pt>
                <c:pt idx="6">
                  <c:v>95.54</c:v>
                </c:pt>
                <c:pt idx="7">
                  <c:v>92.54</c:v>
                </c:pt>
                <c:pt idx="8">
                  <c:v>96.350000000000009</c:v>
                </c:pt>
                <c:pt idx="9">
                  <c:v>101.9</c:v>
                </c:pt>
                <c:pt idx="10">
                  <c:v>104.12</c:v>
                </c:pt>
                <c:pt idx="11">
                  <c:v>111.52000000000001</c:v>
                </c:pt>
                <c:pt idx="12">
                  <c:v>114.52000000000001</c:v>
                </c:pt>
                <c:pt idx="13">
                  <c:v>121.57000000000001</c:v>
                </c:pt>
                <c:pt idx="14">
                  <c:v>127.97000000000001</c:v>
                </c:pt>
                <c:pt idx="15">
                  <c:v>133.97000000000003</c:v>
                </c:pt>
                <c:pt idx="16">
                  <c:v>132.97000000000003</c:v>
                </c:pt>
                <c:pt idx="17">
                  <c:v>127.97000000000003</c:v>
                </c:pt>
                <c:pt idx="18">
                  <c:v>123.97000000000003</c:v>
                </c:pt>
                <c:pt idx="19">
                  <c:v>144.75000000000003</c:v>
                </c:pt>
                <c:pt idx="20">
                  <c:v>147.83000000000004</c:v>
                </c:pt>
                <c:pt idx="21">
                  <c:v>142.83000000000004</c:v>
                </c:pt>
                <c:pt idx="22">
                  <c:v>148.68000000000004</c:v>
                </c:pt>
                <c:pt idx="23">
                  <c:v>141.68000000000004</c:v>
                </c:pt>
                <c:pt idx="24">
                  <c:v>144.71000000000004</c:v>
                </c:pt>
                <c:pt idx="25">
                  <c:v>161.80000000000004</c:v>
                </c:pt>
                <c:pt idx="26">
                  <c:v>164.24000000000004</c:v>
                </c:pt>
                <c:pt idx="27">
                  <c:v>159.24000000000004</c:v>
                </c:pt>
                <c:pt idx="28">
                  <c:v>154.24000000000004</c:v>
                </c:pt>
                <c:pt idx="29">
                  <c:v>149.24000000000004</c:v>
                </c:pt>
                <c:pt idx="30">
                  <c:v>143.24000000000004</c:v>
                </c:pt>
                <c:pt idx="31">
                  <c:v>142.24000000000004</c:v>
                </c:pt>
                <c:pt idx="32">
                  <c:v>140.02000000000004</c:v>
                </c:pt>
                <c:pt idx="33">
                  <c:v>139.02000000000004</c:v>
                </c:pt>
                <c:pt idx="34">
                  <c:v>134.02000000000004</c:v>
                </c:pt>
                <c:pt idx="35">
                  <c:v>128.02000000000004</c:v>
                </c:pt>
                <c:pt idx="36">
                  <c:v>121.02000000000004</c:v>
                </c:pt>
                <c:pt idx="37">
                  <c:v>124.15000000000003</c:v>
                </c:pt>
                <c:pt idx="38">
                  <c:v>119.65000000000003</c:v>
                </c:pt>
                <c:pt idx="39">
                  <c:v>125.03000000000003</c:v>
                </c:pt>
                <c:pt idx="40">
                  <c:v>123.03000000000003</c:v>
                </c:pt>
                <c:pt idx="41">
                  <c:v>122.03000000000003</c:v>
                </c:pt>
                <c:pt idx="42">
                  <c:v>121.03000000000003</c:v>
                </c:pt>
                <c:pt idx="43">
                  <c:v>120.03000000000003</c:v>
                </c:pt>
                <c:pt idx="44">
                  <c:v>116.03000000000003</c:v>
                </c:pt>
                <c:pt idx="45">
                  <c:v>112.70000000000003</c:v>
                </c:pt>
                <c:pt idx="46">
                  <c:v>106.90000000000003</c:v>
                </c:pt>
                <c:pt idx="47">
                  <c:v>100.90000000000003</c:v>
                </c:pt>
                <c:pt idx="48">
                  <c:v>94.900000000000034</c:v>
                </c:pt>
                <c:pt idx="49">
                  <c:v>89.900000000000034</c:v>
                </c:pt>
                <c:pt idx="50">
                  <c:v>84.900000000000034</c:v>
                </c:pt>
                <c:pt idx="51">
                  <c:v>82.900000000000034</c:v>
                </c:pt>
                <c:pt idx="52">
                  <c:v>81.900000000000034</c:v>
                </c:pt>
                <c:pt idx="53">
                  <c:v>80.900000000000034</c:v>
                </c:pt>
                <c:pt idx="54">
                  <c:v>79.900000000000034</c:v>
                </c:pt>
                <c:pt idx="55">
                  <c:v>78.900000000000034</c:v>
                </c:pt>
                <c:pt idx="56">
                  <c:v>77.900000000000034</c:v>
                </c:pt>
                <c:pt idx="57">
                  <c:v>76.900000000000034</c:v>
                </c:pt>
                <c:pt idx="58">
                  <c:v>75.900000000000034</c:v>
                </c:pt>
                <c:pt idx="59">
                  <c:v>75.900000000000034</c:v>
                </c:pt>
                <c:pt idx="64">
                  <c:v>79.760000000000034</c:v>
                </c:pt>
                <c:pt idx="65">
                  <c:v>82.390000000000029</c:v>
                </c:pt>
                <c:pt idx="66">
                  <c:v>79.230000000000032</c:v>
                </c:pt>
                <c:pt idx="67">
                  <c:v>82.330000000000027</c:v>
                </c:pt>
                <c:pt idx="68">
                  <c:v>87.940000000000026</c:v>
                </c:pt>
                <c:pt idx="69">
                  <c:v>84.940000000000026</c:v>
                </c:pt>
                <c:pt idx="70">
                  <c:v>81.940000000000026</c:v>
                </c:pt>
                <c:pt idx="71">
                  <c:v>78.940000000000026</c:v>
                </c:pt>
                <c:pt idx="72">
                  <c:v>75.940000000000026</c:v>
                </c:pt>
                <c:pt idx="73">
                  <c:v>77.520000000000024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5C7-426C-927F-D2040019373E}"/>
            </c:ext>
          </c:extLst>
        </c:ser>
        <c:ser>
          <c:idx val="1"/>
          <c:order val="1"/>
          <c:tx>
            <c:v>Start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Lit>
              <c:formatCode>General</c:formatCode>
              <c:ptCount val="1"/>
              <c:pt idx="0">
                <c:v>82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65C7-426C-927F-D2040019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018464"/>
        <c:axId val="909027168"/>
      </c:lineChart>
      <c:catAx>
        <c:axId val="909018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027168"/>
        <c:crosses val="autoZero"/>
        <c:auto val="1"/>
        <c:lblAlgn val="ctr"/>
        <c:lblOffset val="100"/>
        <c:noMultiLvlLbl val="0"/>
      </c:catAx>
      <c:valAx>
        <c:axId val="90902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018464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228600</xdr:colOff>
      <xdr:row>0</xdr:row>
      <xdr:rowOff>175260</xdr:rowOff>
    </xdr:from>
    <xdr:to>
      <xdr:col>21</xdr:col>
      <xdr:colOff>533400</xdr:colOff>
      <xdr:row>15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4B08AB74-2DB5-4015-8308-3FCABB2CD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wart45@gmail.com" refreshedDate="42795.780208101853" createdVersion="6" refreshedVersion="5" minRefreshableVersion="3" recordCount="63">
  <cacheSource type="worksheet">
    <worksheetSource name="Table3"/>
  </cacheSource>
  <cacheFields count="10">
    <cacheField name="Date" numFmtId="0">
      <sharedItems containsDate="1" containsBlank="1" containsMixedTypes="1" minDate="2017-01-16T00:00:00" maxDate="2017-05-03T00:00:00"/>
    </cacheField>
    <cacheField name="Fight" numFmtId="0">
      <sharedItems containsBlank="1"/>
    </cacheField>
    <cacheField name="Type" numFmtId="0">
      <sharedItems containsBlank="1" count="5">
        <s v="Straight"/>
        <s v="O/U"/>
        <s v="FO"/>
        <s v="Parlay"/>
        <m/>
      </sharedItems>
    </cacheField>
    <cacheField name="Pick" numFmtId="0">
      <sharedItems containsBlank="1"/>
    </cacheField>
    <cacheField name="Odds" numFmtId="0">
      <sharedItems containsString="0" containsBlank="1" containsNumber="1" containsInteger="1" minValue="-230" maxValue="3300"/>
    </cacheField>
    <cacheField name="Bet" numFmtId="164">
      <sharedItems containsString="0" containsBlank="1" containsNumber="1" minValue="1" maxValue="7"/>
    </cacheField>
    <cacheField name="To Win" numFmtId="164">
      <sharedItems containsString="0" containsBlank="1" containsNumber="1" minValue="1" maxValue="33"/>
    </cacheField>
    <cacheField name="Result" numFmtId="0">
      <sharedItems containsBlank="1"/>
    </cacheField>
    <cacheField name="Payout" numFmtId="0">
      <sharedItems containsString="0" containsBlank="1" containsNumber="1" minValue="-7" maxValue="20.78"/>
    </cacheField>
    <cacheField name="Running Total" numFmtId="0">
      <sharedItems containsString="0" containsBlank="1" containsNumber="1" minValue="86.68" maxValue="164.240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3">
  <r>
    <s v="31/12/2016"/>
    <s v="Nunes/Rousey"/>
    <x v="0"/>
    <s v="Nunes"/>
    <n v="117"/>
    <n v="4"/>
    <n v="4.68"/>
    <s v="Win"/>
    <n v="4.68"/>
    <n v="86.68"/>
  </r>
  <r>
    <s v="31/12/2016"/>
    <s v="Nunes/Rousey"/>
    <x v="1"/>
    <s v="&lt;1.5"/>
    <n v="-200"/>
    <n v="4"/>
    <n v="2"/>
    <s v="Win"/>
    <n v="2"/>
    <n v="88.68"/>
  </r>
  <r>
    <s v="31/12/2016"/>
    <s v="Garbrandt/Cruz"/>
    <x v="0"/>
    <s v="Garbrandt"/>
    <n v="180"/>
    <n v="2.5"/>
    <n v="4.5"/>
    <s v="Win"/>
    <n v="4.5"/>
    <n v="93.18"/>
  </r>
  <r>
    <s v="31/12/2016"/>
    <s v="Dillashaw/Lineker"/>
    <x v="0"/>
    <s v="Dillashaw"/>
    <n v="-230"/>
    <n v="2.2999999999999998"/>
    <n v="1"/>
    <s v="Win"/>
    <n v="1"/>
    <n v="94.18"/>
  </r>
  <r>
    <s v="31/12/2016"/>
    <s v="Kim/Saffedine"/>
    <x v="0"/>
    <s v="Kim"/>
    <n v="-138"/>
    <n v="4.1399999999999997"/>
    <n v="3"/>
    <s v="Win"/>
    <n v="3"/>
    <n v="97.18"/>
  </r>
  <r>
    <d v="2017-01-16T00:00:00"/>
    <s v="Penn/Rodriguez"/>
    <x v="1"/>
    <s v="&gt;2.5"/>
    <n v="-110"/>
    <n v="3"/>
    <n v="2.73"/>
    <s v="Lose"/>
    <n v="-3"/>
    <n v="94.18"/>
  </r>
  <r>
    <d v="2017-01-16T00:00:00"/>
    <s v="Martin/White"/>
    <x v="0"/>
    <s v="Martin"/>
    <n v="-160"/>
    <n v="3"/>
    <n v="1.36"/>
    <s v="Win"/>
    <n v="1.36"/>
    <n v="95.54"/>
  </r>
  <r>
    <d v="2017-01-16T00:00:00"/>
    <s v="Saunders/McGee"/>
    <x v="1"/>
    <s v="O/U"/>
    <n v="161"/>
    <n v="3"/>
    <n v="4.83"/>
    <s v="Lose"/>
    <n v="-3"/>
    <n v="92.54"/>
  </r>
  <r>
    <d v="2017-01-28T00:00:00"/>
    <s v="Shevchenko/Pena"/>
    <x v="0"/>
    <s v="Shevchenko"/>
    <n v="-105"/>
    <n v="4"/>
    <n v="3.81"/>
    <s v="Win"/>
    <n v="3.81"/>
    <n v="96.350000000000009"/>
  </r>
  <r>
    <d v="2017-01-28T00:00:00"/>
    <s v="Masvidal/Cerrone"/>
    <x v="1"/>
    <s v="&lt;2.5"/>
    <n v="185"/>
    <n v="3"/>
    <n v="5.55"/>
    <s v="Win"/>
    <n v="5.55"/>
    <n v="101.9"/>
  </r>
  <r>
    <d v="2017-01-28T00:00:00"/>
    <s v="Arlofski/Ngannou"/>
    <x v="1"/>
    <s v="&lt;1.5"/>
    <n v="-180"/>
    <n v="4"/>
    <n v="2.2200000000000002"/>
    <s v="Win"/>
    <n v="2.2200000000000002"/>
    <n v="104.12"/>
  </r>
  <r>
    <d v="2017-01-28T00:00:00"/>
    <s v="Carceres/Knight"/>
    <x v="1"/>
    <s v="&lt;2.5"/>
    <n v="185"/>
    <n v="4"/>
    <n v="7.4"/>
    <s v="Win"/>
    <n v="7.4"/>
    <n v="111.52000000000001"/>
  </r>
  <r>
    <d v="2017-01-28T00:00:00"/>
    <s v="Carceres/Knight"/>
    <x v="0"/>
    <s v="Knight"/>
    <n v="-160"/>
    <n v="4.8"/>
    <n v="3"/>
    <s v="Win"/>
    <n v="3"/>
    <n v="114.52000000000001"/>
  </r>
  <r>
    <d v="2017-05-02T00:00:00"/>
    <s v="Grasso/Herrig"/>
    <x v="0"/>
    <s v="Herrig"/>
    <n v="235"/>
    <n v="3"/>
    <n v="7.05"/>
    <s v="Win"/>
    <n v="7.05"/>
    <n v="121.57000000000001"/>
  </r>
  <r>
    <d v="2017-05-02T00:00:00"/>
    <s v="Jong/Bermudez"/>
    <x v="0"/>
    <s v="Jong"/>
    <n v="160"/>
    <n v="4"/>
    <n v="6.4"/>
    <s v="Win"/>
    <n v="6.4"/>
    <n v="127.97000000000001"/>
  </r>
  <r>
    <d v="2017-05-02T00:00:00"/>
    <s v="Fortuna/Hamilton"/>
    <x v="0"/>
    <s v="Fortuna"/>
    <n v="150"/>
    <n v="4"/>
    <n v="6"/>
    <s v="Win"/>
    <n v="6"/>
    <n v="133.97000000000003"/>
  </r>
  <r>
    <d v="2017-05-02T00:00:00"/>
    <s v="Vick/Trujilo"/>
    <x v="2"/>
    <s v="Vick KO"/>
    <n v="400"/>
    <n v="1"/>
    <n v="4"/>
    <s v="Lose"/>
    <n v="-1"/>
    <n v="132.97000000000003"/>
  </r>
  <r>
    <d v="2017-05-02T00:00:00"/>
    <s v="Vick/Trujilo"/>
    <x v="0"/>
    <s v="Trujilo"/>
    <n v="-110"/>
    <n v="5"/>
    <n v="4.55"/>
    <s v="Lose"/>
    <n v="-5"/>
    <n v="127.97000000000003"/>
  </r>
  <r>
    <d v="2017-05-02T00:00:00"/>
    <s v="Vick/Trujilo"/>
    <x v="1"/>
    <s v="&lt;1.5"/>
    <n v="130"/>
    <n v="4"/>
    <n v="5.2"/>
    <s v="Lose"/>
    <n v="-4"/>
    <n v="123.97000000000003"/>
  </r>
  <r>
    <d v="2017-05-02T00:00:00"/>
    <s v="Parlay"/>
    <x v="3"/>
    <s v="Jong/Herrig/Bermudez"/>
    <m/>
    <n v="1"/>
    <n v="20.78"/>
    <s v="Win"/>
    <n v="20.78"/>
    <n v="144.75000000000003"/>
  </r>
  <r>
    <d v="2017-02-12T00:00:00"/>
    <s v="Holm/Randamie"/>
    <x v="0"/>
    <s v="Randamie"/>
    <n v="-130"/>
    <n v="4"/>
    <n v="3.08"/>
    <s v="Win"/>
    <n v="3.08"/>
    <n v="147.83000000000004"/>
  </r>
  <r>
    <d v="2017-02-12T00:00:00"/>
    <s v="Holm/Randamie"/>
    <x v="1"/>
    <s v="&lt;4.5"/>
    <n v="120"/>
    <n v="5"/>
    <n v="6"/>
    <s v="Lose"/>
    <n v="-5"/>
    <n v="142.83000000000004"/>
  </r>
  <r>
    <d v="2017-02-12T00:00:00"/>
    <s v="Silva/Brunson"/>
    <x v="0"/>
    <s v="Silva"/>
    <n v="117"/>
    <n v="5"/>
    <n v="5.85"/>
    <s v="Win"/>
    <n v="5.85"/>
    <n v="148.68000000000004"/>
  </r>
  <r>
    <d v="2017-02-12T00:00:00"/>
    <s v="Silva/Brunson"/>
    <x v="1"/>
    <s v="&lt;1.5"/>
    <n v="120"/>
    <n v="7"/>
    <n v="8.4"/>
    <s v="Lose"/>
    <n v="-7"/>
    <n v="141.68000000000004"/>
  </r>
  <r>
    <d v="2017-02-12T00:00:00"/>
    <s v="Teixeria/Cannonier"/>
    <x v="0"/>
    <s v="Teixeira"/>
    <n v="-165"/>
    <n v="5"/>
    <n v="3.03"/>
    <s v="Win"/>
    <n v="3.03"/>
    <n v="144.71000000000004"/>
  </r>
  <r>
    <d v="2017-02-12T00:00:00"/>
    <s v="Parlay"/>
    <x v="3"/>
    <s v="Randamie/Silva/Teixeira"/>
    <m/>
    <n v="3"/>
    <n v="17.09"/>
    <s v="Win"/>
    <n v="17.09"/>
    <n v="161.80000000000004"/>
  </r>
  <r>
    <d v="2017-02-12T00:00:00"/>
    <s v="Holm/Randamie"/>
    <x v="0"/>
    <s v="Randamie"/>
    <n v="-123"/>
    <n v="3"/>
    <n v="2.44"/>
    <s v="Win"/>
    <n v="2.44"/>
    <n v="164.24000000000004"/>
  </r>
  <r>
    <d v="2017-02-12T00:00:00"/>
    <s v="Muhammad/Brown"/>
    <x v="0"/>
    <s v="Brown"/>
    <n v="-120"/>
    <n v="5"/>
    <n v="4.17"/>
    <s v="Lose"/>
    <n v="-5"/>
    <n v="159.24000000000004"/>
  </r>
  <r>
    <d v="2017-02-12T00:00:00"/>
    <s v="Lentz/Makhachev"/>
    <x v="0"/>
    <s v="Lentz"/>
    <n v="240"/>
    <n v="5"/>
    <n v="12"/>
    <s v="Lose"/>
    <n v="-5"/>
    <n v="154.24000000000004"/>
  </r>
  <r>
    <d v="2017-02-12T00:00:00"/>
    <s v="Lentz/Makhachev"/>
    <x v="1"/>
    <s v="&lt;2.5"/>
    <n v="230"/>
    <n v="5"/>
    <n v="11.5"/>
    <s v="Lose"/>
    <n v="-5"/>
    <n v="149.24000000000004"/>
  </r>
  <r>
    <d v="2017-02-12T00:00:00"/>
    <s v="Nover/Glenn"/>
    <x v="0"/>
    <s v="Nover"/>
    <n v="170"/>
    <n v="6"/>
    <n v="10.199999999999999"/>
    <s v="Lose"/>
    <n v="-6"/>
    <n v="143.24000000000004"/>
  </r>
  <r>
    <d v="2017-02-12T00:00:00"/>
    <s v="Holm/Randamie"/>
    <x v="2"/>
    <s v="Holm Sub"/>
    <n v="900"/>
    <n v="1"/>
    <n v="9"/>
    <s v="Lose"/>
    <n v="-1"/>
    <n v="142.24000000000004"/>
  </r>
  <r>
    <d v="2017-02-12T00:00:00"/>
    <s v="Brunson/Silva"/>
    <x v="2"/>
    <s v="Brunson KO"/>
    <n v="225"/>
    <n v="2.2200000000000002"/>
    <n v="5"/>
    <s v="Lose"/>
    <n v="-2.2200000000000002"/>
    <n v="140.02000000000004"/>
  </r>
  <r>
    <d v="2017-02-12T00:00:00"/>
    <s v="Lentz/Makhachev"/>
    <x v="2"/>
    <s v="Lentz Sub"/>
    <n v="1183"/>
    <n v="1"/>
    <n v="11.83"/>
    <s v="Lose"/>
    <n v="-1"/>
    <n v="139.02000000000004"/>
  </r>
  <r>
    <d v="2017-02-19T00:00:00"/>
    <s v="Brown/Lewis"/>
    <x v="0"/>
    <s v="Browne"/>
    <n v="110"/>
    <n v="5"/>
    <n v="5.5"/>
    <s v="Lose"/>
    <n v="-5"/>
    <n v="134.02000000000004"/>
  </r>
  <r>
    <d v="2017-02-19T00:00:00"/>
    <s v="Lombard/Hendricks"/>
    <x v="0"/>
    <s v="Lombard"/>
    <n v="-145"/>
    <n v="6"/>
    <n v="4.1399999999999997"/>
    <s v="Lose"/>
    <n v="-6"/>
    <n v="128.02000000000004"/>
  </r>
  <r>
    <d v="2017-02-19T00:00:00"/>
    <s v="Sicilia/Tucker"/>
    <x v="1"/>
    <s v="&lt;1.5"/>
    <n v="170"/>
    <n v="7"/>
    <n v="11.9"/>
    <s v="Lose"/>
    <n v="-7"/>
    <n v="121.02000000000004"/>
  </r>
  <r>
    <d v="2017-02-19T00:00:00"/>
    <s v="Sicilia/Tucker"/>
    <x v="0"/>
    <s v="Tucker"/>
    <n v="-160"/>
    <n v="5"/>
    <n v="3.13"/>
    <s v="Win"/>
    <n v="3.13"/>
    <n v="124.15000000000003"/>
  </r>
  <r>
    <d v="2017-02-19T00:00:00"/>
    <s v="Marshman/Santos"/>
    <x v="0"/>
    <s v="Marshman"/>
    <n v="150"/>
    <n v="4.5"/>
    <n v="6.75"/>
    <s v="Lose"/>
    <n v="-4.5"/>
    <n v="119.65000000000003"/>
  </r>
  <r>
    <d v="2017-02-19T00:00:00"/>
    <s v="Marshman/Santos"/>
    <x v="1"/>
    <s v="&lt;1.5"/>
    <n v="-130"/>
    <n v="7"/>
    <n v="5.38"/>
    <s v="Win"/>
    <n v="5.38"/>
    <n v="125.03000000000003"/>
  </r>
  <r>
    <d v="2017-02-19T00:00:00"/>
    <s v="Parlay"/>
    <x v="3"/>
    <s v="All"/>
    <m/>
    <n v="2"/>
    <n v="24.96"/>
    <s v="Lose"/>
    <n v="-2"/>
    <n v="123.03000000000003"/>
  </r>
  <r>
    <d v="2017-02-19T00:00:00"/>
    <s v="Lombard/Hendricks"/>
    <x v="2"/>
    <s v="Lombard Sub"/>
    <n v="905"/>
    <n v="1"/>
    <n v="9.0500000000000007"/>
    <s v="Lose"/>
    <n v="-1"/>
    <n v="122.03000000000003"/>
  </r>
  <r>
    <d v="2017-02-19T00:00:00"/>
    <s v="Brown/Lewis"/>
    <x v="2"/>
    <s v="Brown W 4"/>
    <n v="2200"/>
    <n v="1"/>
    <n v="22"/>
    <s v="Lose"/>
    <n v="-1"/>
    <n v="121.03000000000003"/>
  </r>
  <r>
    <d v="2017-02-19T00:00:00"/>
    <s v="Brown/Lewis"/>
    <x v="2"/>
    <s v="Brown W 5"/>
    <n v="3300"/>
    <n v="1"/>
    <n v="33"/>
    <s v="Lose"/>
    <n v="-1"/>
    <n v="120.03000000000003"/>
  </r>
  <r>
    <d v="2017-02-19T00:00:00"/>
    <s v="Vierra/Zahabi"/>
    <x v="0"/>
    <s v="Vierra"/>
    <n v="190"/>
    <n v="4"/>
    <n v="7.6"/>
    <s v="Lose"/>
    <n v="-4"/>
    <n v="116.03000000000003"/>
  </r>
  <r>
    <d v="2017-03-05T00:00:00"/>
    <s v="Woodly/Thomson"/>
    <x v="1"/>
    <s v="&lt;2.5"/>
    <n v="150"/>
    <n v="3.33"/>
    <n v="5"/>
    <m/>
    <m/>
    <m/>
  </r>
  <r>
    <d v="2017-03-05T00:00:00"/>
    <s v="Hunt/Overeem"/>
    <x v="1"/>
    <s v="&lt;1.5"/>
    <n v="-145"/>
    <n v="5.8"/>
    <n v="4"/>
    <m/>
    <m/>
    <m/>
  </r>
  <r>
    <d v="2017-03-05T00:00:00"/>
    <s v="Khabib/Ferguson"/>
    <x v="0"/>
    <s v="Khabib"/>
    <n v="-210"/>
    <n v="5"/>
    <n v="2.38"/>
    <m/>
    <m/>
    <m/>
  </r>
  <r>
    <d v="2017-03-05T00:00:00"/>
    <s v="Khabib/Ferguson"/>
    <x v="1"/>
    <s v="&lt;3.5"/>
    <n v="150"/>
    <n v="5"/>
    <n v="7.5"/>
    <m/>
    <m/>
    <m/>
  </r>
  <r>
    <d v="2017-03-05T00:00:00"/>
    <s v="Henrique/Tybura"/>
    <x v="0"/>
    <s v="Henrique"/>
    <n v="120"/>
    <n v="6"/>
    <n v="7.2"/>
    <m/>
    <m/>
    <m/>
  </r>
  <r>
    <d v="2017-03-05T00:00:00"/>
    <s v="Vanatta/Teymur"/>
    <x v="1"/>
    <s v="&lt;1.5"/>
    <n v="170"/>
    <n v="6"/>
    <n v="10.199999999999999"/>
    <m/>
    <m/>
    <m/>
  </r>
  <r>
    <d v="2017-03-05T00:00:00"/>
    <s v="Henrique/Tybura"/>
    <x v="1"/>
    <s v="&lt;2.5"/>
    <n v="-140"/>
    <n v="5"/>
    <n v="3.57"/>
    <m/>
    <m/>
    <m/>
  </r>
  <r>
    <d v="2017-03-05T00:00:00"/>
    <m/>
    <x v="4"/>
    <m/>
    <m/>
    <m/>
    <m/>
    <m/>
    <m/>
    <m/>
  </r>
  <r>
    <m/>
    <m/>
    <x v="4"/>
    <m/>
    <m/>
    <m/>
    <m/>
    <m/>
    <m/>
    <m/>
  </r>
  <r>
    <m/>
    <m/>
    <x v="4"/>
    <m/>
    <m/>
    <m/>
    <m/>
    <m/>
    <m/>
    <m/>
  </r>
  <r>
    <m/>
    <m/>
    <x v="4"/>
    <m/>
    <m/>
    <m/>
    <m/>
    <m/>
    <m/>
    <m/>
  </r>
  <r>
    <m/>
    <m/>
    <x v="4"/>
    <m/>
    <m/>
    <m/>
    <m/>
    <m/>
    <m/>
    <m/>
  </r>
  <r>
    <m/>
    <m/>
    <x v="4"/>
    <m/>
    <m/>
    <m/>
    <m/>
    <m/>
    <m/>
    <m/>
  </r>
  <r>
    <m/>
    <m/>
    <x v="4"/>
    <m/>
    <m/>
    <m/>
    <m/>
    <m/>
    <m/>
    <m/>
  </r>
  <r>
    <m/>
    <m/>
    <x v="4"/>
    <m/>
    <m/>
    <m/>
    <m/>
    <m/>
    <m/>
    <m/>
  </r>
  <r>
    <m/>
    <m/>
    <x v="4"/>
    <m/>
    <m/>
    <m/>
    <m/>
    <m/>
    <m/>
    <m/>
  </r>
  <r>
    <m/>
    <m/>
    <x v="4"/>
    <m/>
    <m/>
    <m/>
    <m/>
    <m/>
    <m/>
    <m/>
  </r>
  <r>
    <d v="2017-03-05T00:00:00"/>
    <m/>
    <x v="4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6" indent="0" outline="1" outlineData="1" multipleFieldFilters="0" chartFormat="1">
  <location ref="A3:D9" firstHeaderRow="0" firstDataRow="1" firstDataCol="1"/>
  <pivotFields count="10">
    <pivotField showAll="0"/>
    <pivotField showAll="0"/>
    <pivotField axis="axisRow" dataField="1" showAll="0">
      <items count="6">
        <item x="1"/>
        <item x="0"/>
        <item x="4"/>
        <item x="2"/>
        <item x="3"/>
        <item t="default"/>
      </items>
    </pivotField>
    <pivotField showAll="0"/>
    <pivotField dataField="1" showAll="0"/>
    <pivotField showAll="0" defaultSubtotal="0"/>
    <pivotField showAll="0"/>
    <pivotField showAll="0"/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Type" fld="2" subtotal="count" baseField="0" baseItem="0"/>
    <dataField name="Sum of Odds" fld="4" baseField="2" baseItem="1"/>
    <dataField name="Sum of Payout" fld="8" baseField="2" baseItem="0"/>
  </dataFields>
  <formats count="1">
    <format dxfId="0">
      <pivotArea collapsedLevelsAreSubtotals="1" fieldPosition="0">
        <references count="2">
          <reference field="4294967294" count="1" selected="0">
            <x v="2"/>
          </reference>
          <reference field="2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e3" displayName="Table3" ref="A1:J90" totalsRowShown="0">
  <autoFilter ref="A1:J90"/>
  <tableColumns count="10">
    <tableColumn id="1" name="Date" dataDxfId="3"/>
    <tableColumn id="2" name="Fight"/>
    <tableColumn id="3" name="Type"/>
    <tableColumn id="4" name="Pick"/>
    <tableColumn id="5" name="Odds"/>
    <tableColumn id="6" name="Bet" dataDxfId="2" dataCellStyle="Currency"/>
    <tableColumn id="7" name="To Win" dataDxfId="1" dataCellStyle="Currency"/>
    <tableColumn id="8" name="Result"/>
    <tableColumn id="9" name="Payout">
      <calculatedColumnFormula>_xlfn.IFS(H2="Win",G2,H2 = "Lose",-F2,H2 = "",0)</calculatedColumnFormula>
    </tableColumn>
    <tableColumn id="10" name="Running Total">
      <calculatedColumnFormula>J1+I2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89"/>
  <sheetViews>
    <sheetView tabSelected="1" workbookViewId="0">
      <pane xSplit="1" topLeftCell="B1" activePane="topRight" state="frozen"/>
      <selection pane="topRight" activeCell="E20" sqref="E20"/>
    </sheetView>
  </sheetViews>
  <sheetFormatPr defaultRowHeight="14.5" x14ac:dyDescent="0.35"/>
  <cols>
    <col min="1" max="1" width="14.1796875" bestFit="1" customWidth="1"/>
    <col min="2" max="2" width="8.54296875" bestFit="1" customWidth="1"/>
    <col min="4" max="4" width="10.08984375" style="3" bestFit="1" customWidth="1"/>
    <col min="5" max="5" width="15.81640625" bestFit="1" customWidth="1"/>
    <col min="6" max="6" width="10.08984375" style="3" bestFit="1" customWidth="1"/>
    <col min="7" max="7" width="8.1796875" bestFit="1" customWidth="1"/>
    <col min="16" max="16" width="9.36328125" bestFit="1" customWidth="1"/>
    <col min="19" max="19" width="10.54296875" bestFit="1" customWidth="1"/>
    <col min="25" max="25" width="31.90625" bestFit="1" customWidth="1"/>
  </cols>
  <sheetData>
    <row r="1" spans="1:27" s="1" customFormat="1" x14ac:dyDescent="0.35">
      <c r="A1" s="1" t="s">
        <v>0</v>
      </c>
      <c r="B1" s="1" t="s">
        <v>12</v>
      </c>
      <c r="C1" s="1" t="s">
        <v>13</v>
      </c>
      <c r="D1" s="2" t="s">
        <v>9</v>
      </c>
      <c r="E1" s="1" t="s">
        <v>11</v>
      </c>
      <c r="F1" s="2" t="s">
        <v>16</v>
      </c>
      <c r="G1" s="1" t="s">
        <v>26</v>
      </c>
      <c r="H1" s="1" t="s">
        <v>1</v>
      </c>
      <c r="I1" s="1" t="s">
        <v>17</v>
      </c>
      <c r="J1" s="1" t="s">
        <v>18</v>
      </c>
      <c r="K1" s="1" t="s">
        <v>19</v>
      </c>
      <c r="L1" s="1" t="s">
        <v>2</v>
      </c>
      <c r="M1" s="1" t="s">
        <v>20</v>
      </c>
      <c r="N1" s="1" t="s">
        <v>21</v>
      </c>
      <c r="O1" s="1" t="s">
        <v>22</v>
      </c>
      <c r="P1" s="1" t="s">
        <v>3</v>
      </c>
      <c r="Q1" s="1" t="s">
        <v>4</v>
      </c>
      <c r="R1" s="1" t="s">
        <v>5</v>
      </c>
      <c r="S1" s="1" t="s">
        <v>6</v>
      </c>
      <c r="T1" s="1" t="s">
        <v>7</v>
      </c>
      <c r="U1" s="1" t="s">
        <v>30</v>
      </c>
      <c r="V1" s="1" t="s">
        <v>8</v>
      </c>
      <c r="W1" s="1" t="s">
        <v>31</v>
      </c>
      <c r="X1" s="1" t="s">
        <v>32</v>
      </c>
      <c r="Z1" s="31" t="s">
        <v>201</v>
      </c>
      <c r="AA1" s="32"/>
    </row>
    <row r="2" spans="1:27" x14ac:dyDescent="0.35">
      <c r="A2" t="s">
        <v>23</v>
      </c>
      <c r="B2" t="s">
        <v>24</v>
      </c>
      <c r="C2" t="s">
        <v>14</v>
      </c>
      <c r="D2" s="3">
        <v>29</v>
      </c>
      <c r="E2">
        <v>68</v>
      </c>
      <c r="F2" s="3">
        <f ca="1">INT(YEARFRAC(DATE(2011,1,1),TODAY()))</f>
        <v>7</v>
      </c>
      <c r="G2" t="s">
        <v>28</v>
      </c>
      <c r="H2">
        <v>12</v>
      </c>
      <c r="I2">
        <v>3</v>
      </c>
      <c r="J2">
        <v>9</v>
      </c>
      <c r="K2">
        <v>0</v>
      </c>
      <c r="L2">
        <v>1</v>
      </c>
      <c r="M2">
        <v>1</v>
      </c>
      <c r="N2">
        <v>0</v>
      </c>
      <c r="O2">
        <v>0</v>
      </c>
      <c r="P2">
        <v>0</v>
      </c>
      <c r="Q2">
        <v>1</v>
      </c>
      <c r="R2">
        <v>1</v>
      </c>
      <c r="S2">
        <v>10</v>
      </c>
      <c r="T2">
        <v>8</v>
      </c>
      <c r="V2">
        <v>1</v>
      </c>
      <c r="W2">
        <v>0</v>
      </c>
      <c r="X2">
        <v>5</v>
      </c>
      <c r="Z2" s="23" t="s">
        <v>202</v>
      </c>
      <c r="AA2" s="24" t="s">
        <v>203</v>
      </c>
    </row>
    <row r="3" spans="1:27" x14ac:dyDescent="0.35">
      <c r="A3" t="s">
        <v>25</v>
      </c>
      <c r="B3" t="s">
        <v>24</v>
      </c>
      <c r="C3" t="s">
        <v>14</v>
      </c>
      <c r="D3" s="3">
        <v>28</v>
      </c>
      <c r="E3">
        <v>69</v>
      </c>
      <c r="F3" s="3">
        <f ca="1">INT(YEARFRAC(DATE(2008,1,1),TODAY()))</f>
        <v>10</v>
      </c>
      <c r="G3" t="s">
        <v>28</v>
      </c>
      <c r="H3">
        <v>13</v>
      </c>
      <c r="I3">
        <v>9</v>
      </c>
      <c r="J3">
        <v>3</v>
      </c>
      <c r="K3">
        <v>1</v>
      </c>
      <c r="L3">
        <v>4</v>
      </c>
      <c r="M3">
        <v>2</v>
      </c>
      <c r="N3">
        <v>1</v>
      </c>
      <c r="O3">
        <v>1</v>
      </c>
      <c r="P3">
        <v>0</v>
      </c>
      <c r="Q3">
        <v>8</v>
      </c>
      <c r="R3">
        <v>7</v>
      </c>
      <c r="S3">
        <v>5</v>
      </c>
      <c r="T3">
        <v>8</v>
      </c>
      <c r="U3">
        <v>7</v>
      </c>
      <c r="V3">
        <v>5</v>
      </c>
      <c r="W3">
        <v>6</v>
      </c>
      <c r="X3">
        <v>9</v>
      </c>
      <c r="Z3" s="25">
        <v>140</v>
      </c>
      <c r="AA3" s="26">
        <v>185</v>
      </c>
    </row>
    <row r="4" spans="1:27" x14ac:dyDescent="0.35">
      <c r="A4" t="s">
        <v>29</v>
      </c>
      <c r="B4" t="s">
        <v>24</v>
      </c>
      <c r="C4" t="s">
        <v>14</v>
      </c>
      <c r="D4" s="3">
        <v>31</v>
      </c>
      <c r="E4">
        <v>68</v>
      </c>
      <c r="F4" s="3">
        <f ca="1">INT(YEARFRAC(DATE(2005,1,1),TODAY()))</f>
        <v>13</v>
      </c>
      <c r="G4" t="s">
        <v>28</v>
      </c>
      <c r="H4">
        <v>21</v>
      </c>
      <c r="I4">
        <v>7</v>
      </c>
      <c r="J4">
        <v>1</v>
      </c>
      <c r="K4">
        <v>14</v>
      </c>
      <c r="L4">
        <v>2</v>
      </c>
      <c r="M4">
        <v>0</v>
      </c>
      <c r="N4">
        <v>1</v>
      </c>
      <c r="O4">
        <v>1</v>
      </c>
      <c r="P4">
        <v>0</v>
      </c>
      <c r="Q4">
        <v>8</v>
      </c>
      <c r="R4">
        <v>8</v>
      </c>
      <c r="S4">
        <v>5</v>
      </c>
      <c r="T4">
        <v>0</v>
      </c>
      <c r="U4">
        <v>6</v>
      </c>
      <c r="V4">
        <v>6</v>
      </c>
      <c r="W4">
        <v>8</v>
      </c>
      <c r="X4">
        <v>7</v>
      </c>
      <c r="Z4" s="27">
        <f>100/(Z3+100)</f>
        <v>0.41666666666666669</v>
      </c>
      <c r="AA4" s="28">
        <f>AA3/(100+AA3)</f>
        <v>0.64912280701754388</v>
      </c>
    </row>
    <row r="5" spans="1:27" x14ac:dyDescent="0.35">
      <c r="A5" t="s">
        <v>33</v>
      </c>
      <c r="B5" t="s">
        <v>24</v>
      </c>
      <c r="C5" t="s">
        <v>14</v>
      </c>
      <c r="D5" s="3">
        <v>25</v>
      </c>
      <c r="E5">
        <v>65</v>
      </c>
      <c r="F5" s="3">
        <f ca="1">INT(YEARFRAC(DATE(2012,1,1),TODAY()))</f>
        <v>6</v>
      </c>
      <c r="G5" t="s">
        <v>28</v>
      </c>
      <c r="H5">
        <v>11</v>
      </c>
      <c r="I5">
        <v>9</v>
      </c>
      <c r="J5">
        <v>0</v>
      </c>
      <c r="K5">
        <v>2</v>
      </c>
      <c r="L5">
        <v>0</v>
      </c>
      <c r="M5">
        <v>0</v>
      </c>
      <c r="N5">
        <v>0</v>
      </c>
      <c r="O5">
        <v>0</v>
      </c>
      <c r="P5">
        <v>0</v>
      </c>
      <c r="Q5">
        <v>2</v>
      </c>
      <c r="R5">
        <v>2</v>
      </c>
      <c r="S5">
        <v>4</v>
      </c>
      <c r="T5">
        <v>6</v>
      </c>
      <c r="U5">
        <v>8</v>
      </c>
      <c r="V5">
        <v>8</v>
      </c>
      <c r="W5">
        <v>6</v>
      </c>
      <c r="X5">
        <v>8</v>
      </c>
      <c r="Y5" t="s">
        <v>34</v>
      </c>
    </row>
    <row r="6" spans="1:27" x14ac:dyDescent="0.35">
      <c r="A6" t="s">
        <v>36</v>
      </c>
      <c r="B6" t="s">
        <v>24</v>
      </c>
      <c r="C6" t="s">
        <v>14</v>
      </c>
      <c r="D6" s="3">
        <v>26</v>
      </c>
      <c r="E6">
        <v>67</v>
      </c>
      <c r="F6" s="3">
        <f ca="1">INT(YEARFRAC(DATE(2008,1,1),TODAY()))</f>
        <v>10</v>
      </c>
      <c r="G6" t="s">
        <v>28</v>
      </c>
      <c r="H6">
        <v>29</v>
      </c>
      <c r="I6">
        <v>13</v>
      </c>
      <c r="J6">
        <v>4</v>
      </c>
      <c r="K6">
        <v>11</v>
      </c>
      <c r="L6">
        <v>7</v>
      </c>
      <c r="M6">
        <v>0</v>
      </c>
      <c r="N6">
        <v>3</v>
      </c>
      <c r="O6">
        <v>4</v>
      </c>
      <c r="P6">
        <v>1</v>
      </c>
      <c r="Q6">
        <v>7</v>
      </c>
      <c r="R6">
        <v>3</v>
      </c>
      <c r="T6">
        <v>3</v>
      </c>
      <c r="V6">
        <v>7</v>
      </c>
      <c r="W6">
        <v>5</v>
      </c>
      <c r="X6">
        <v>8</v>
      </c>
      <c r="Z6" s="31" t="s">
        <v>204</v>
      </c>
      <c r="AA6" s="32"/>
    </row>
    <row r="7" spans="1:27" x14ac:dyDescent="0.35">
      <c r="A7" t="s">
        <v>35</v>
      </c>
      <c r="B7" t="s">
        <v>24</v>
      </c>
      <c r="C7" t="s">
        <v>14</v>
      </c>
      <c r="D7" s="3">
        <v>30</v>
      </c>
      <c r="E7">
        <v>67</v>
      </c>
      <c r="F7" s="3">
        <f ca="1">INT(YEARFRAC(DATE(2010,1,1),TODAY()))</f>
        <v>8</v>
      </c>
      <c r="G7" s="4" t="s">
        <v>28</v>
      </c>
      <c r="H7">
        <v>13</v>
      </c>
      <c r="I7">
        <v>6</v>
      </c>
      <c r="J7">
        <v>3</v>
      </c>
      <c r="K7">
        <v>4</v>
      </c>
      <c r="L7">
        <v>3</v>
      </c>
      <c r="M7">
        <v>1</v>
      </c>
      <c r="N7">
        <v>0</v>
      </c>
      <c r="O7">
        <v>2</v>
      </c>
      <c r="P7">
        <v>0</v>
      </c>
      <c r="Q7">
        <v>7</v>
      </c>
      <c r="R7">
        <v>6</v>
      </c>
      <c r="S7">
        <v>8</v>
      </c>
      <c r="T7">
        <v>7</v>
      </c>
      <c r="U7">
        <v>8</v>
      </c>
      <c r="V7">
        <v>8</v>
      </c>
      <c r="W7">
        <v>7</v>
      </c>
      <c r="X7">
        <v>6</v>
      </c>
      <c r="Z7" s="23" t="s">
        <v>202</v>
      </c>
      <c r="AA7" s="24" t="s">
        <v>203</v>
      </c>
    </row>
    <row r="8" spans="1:27" x14ac:dyDescent="0.35">
      <c r="A8" t="s">
        <v>178</v>
      </c>
      <c r="B8" t="s">
        <v>24</v>
      </c>
      <c r="C8" t="s">
        <v>14</v>
      </c>
      <c r="D8" s="3">
        <v>36</v>
      </c>
      <c r="E8">
        <v>71</v>
      </c>
      <c r="F8" s="3">
        <f ca="1">INT(YEARFRAC(DATE(2004,1,1),TODAY()))</f>
        <v>14</v>
      </c>
      <c r="G8" s="6" t="s">
        <v>28</v>
      </c>
      <c r="H8">
        <v>34</v>
      </c>
      <c r="I8">
        <v>14</v>
      </c>
      <c r="J8">
        <v>13</v>
      </c>
      <c r="K8">
        <v>7</v>
      </c>
      <c r="L8">
        <v>7</v>
      </c>
      <c r="M8">
        <v>1</v>
      </c>
      <c r="N8">
        <v>1</v>
      </c>
      <c r="O8">
        <v>5</v>
      </c>
      <c r="P8">
        <v>1</v>
      </c>
      <c r="Y8" s="21"/>
      <c r="Z8" s="25">
        <v>0.22</v>
      </c>
      <c r="AA8" s="26">
        <f>1-Z8</f>
        <v>0.78</v>
      </c>
    </row>
    <row r="9" spans="1:27" x14ac:dyDescent="0.35">
      <c r="A9" s="6" t="s">
        <v>179</v>
      </c>
      <c r="B9" s="6" t="s">
        <v>24</v>
      </c>
      <c r="C9" s="6" t="s">
        <v>14</v>
      </c>
      <c r="D9" s="7">
        <v>31</v>
      </c>
      <c r="E9" s="6">
        <v>71</v>
      </c>
      <c r="F9" s="7"/>
      <c r="G9" s="6"/>
      <c r="H9" s="6">
        <v>11</v>
      </c>
      <c r="I9" s="6">
        <v>6</v>
      </c>
      <c r="J9" s="6">
        <v>2</v>
      </c>
      <c r="K9" s="6">
        <v>3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/>
      <c r="R9" s="6"/>
      <c r="S9" s="6"/>
      <c r="T9" s="6"/>
      <c r="U9" s="6"/>
      <c r="V9" s="6"/>
      <c r="Y9" s="21"/>
      <c r="Z9" s="29">
        <f>100/Z8-100</f>
        <v>354.54545454545456</v>
      </c>
      <c r="AA9" s="28">
        <f>Z9</f>
        <v>354.54545454545456</v>
      </c>
    </row>
    <row r="10" spans="1:27" s="6" customFormat="1" x14ac:dyDescent="0.35">
      <c r="A10" s="6" t="s">
        <v>217</v>
      </c>
      <c r="B10" s="6" t="s">
        <v>24</v>
      </c>
      <c r="C10" s="6" t="s">
        <v>14</v>
      </c>
      <c r="D10" s="7">
        <v>25</v>
      </c>
      <c r="E10" s="6">
        <v>72</v>
      </c>
      <c r="F10" s="7">
        <f ca="1">INT(YEARFRAC(DATE(2015,1,1),TODAY()))</f>
        <v>3</v>
      </c>
      <c r="G10" s="6" t="s">
        <v>28</v>
      </c>
      <c r="H10" s="6">
        <v>6</v>
      </c>
      <c r="I10" s="6">
        <v>2</v>
      </c>
      <c r="J10" s="6">
        <v>3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1</v>
      </c>
      <c r="Q10" s="6">
        <v>7</v>
      </c>
      <c r="S10" s="6">
        <v>5</v>
      </c>
      <c r="T10" s="6">
        <v>6</v>
      </c>
      <c r="V10" s="6">
        <v>6</v>
      </c>
      <c r="W10" s="6">
        <v>7</v>
      </c>
      <c r="X10" s="6">
        <v>6</v>
      </c>
      <c r="Y10" s="21" t="s">
        <v>218</v>
      </c>
      <c r="Z10" s="30"/>
      <c r="AA10" s="30"/>
    </row>
    <row r="11" spans="1:27" s="6" customFormat="1" x14ac:dyDescent="0.35">
      <c r="A11" s="6" t="s">
        <v>219</v>
      </c>
      <c r="B11" s="6" t="s">
        <v>24</v>
      </c>
      <c r="C11" s="6" t="s">
        <v>14</v>
      </c>
      <c r="D11" s="7">
        <v>28</v>
      </c>
      <c r="E11" s="6">
        <v>72</v>
      </c>
      <c r="F11" s="7"/>
      <c r="G11" s="6" t="s">
        <v>28</v>
      </c>
      <c r="H11" s="6">
        <v>11</v>
      </c>
      <c r="I11" s="6">
        <v>7</v>
      </c>
      <c r="J11" s="6">
        <v>3</v>
      </c>
      <c r="K11" s="6">
        <v>1</v>
      </c>
      <c r="L11" s="6">
        <v>3</v>
      </c>
      <c r="M11" s="6">
        <v>0</v>
      </c>
      <c r="N11" s="6">
        <v>0</v>
      </c>
      <c r="O11" s="6">
        <v>3</v>
      </c>
      <c r="P11" s="6">
        <v>0</v>
      </c>
      <c r="Y11" s="21" t="s">
        <v>220</v>
      </c>
      <c r="Z11" s="30"/>
      <c r="AA11" s="30"/>
    </row>
    <row r="12" spans="1:27" s="6" customFormat="1" x14ac:dyDescent="0.35">
      <c r="A12" s="6" t="s">
        <v>182</v>
      </c>
      <c r="B12" s="6" t="s">
        <v>24</v>
      </c>
      <c r="C12" s="6" t="s">
        <v>14</v>
      </c>
      <c r="D12" s="7">
        <v>29</v>
      </c>
      <c r="E12" s="6">
        <v>68</v>
      </c>
      <c r="F12" s="7"/>
      <c r="G12" s="6" t="s">
        <v>28</v>
      </c>
      <c r="H12" s="6">
        <v>6</v>
      </c>
      <c r="I12" s="6">
        <v>3</v>
      </c>
      <c r="J12" s="6">
        <v>3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Y12" s="6" t="s">
        <v>183</v>
      </c>
    </row>
    <row r="13" spans="1:27" s="6" customFormat="1" x14ac:dyDescent="0.35">
      <c r="A13" s="6" t="s">
        <v>184</v>
      </c>
      <c r="B13" s="6" t="s">
        <v>24</v>
      </c>
      <c r="C13" s="6" t="s">
        <v>14</v>
      </c>
      <c r="D13" s="7">
        <v>34</v>
      </c>
      <c r="E13" s="6">
        <v>65</v>
      </c>
      <c r="F13" s="7"/>
      <c r="G13" s="6" t="s">
        <v>28</v>
      </c>
      <c r="H13" s="6">
        <v>13</v>
      </c>
      <c r="I13" s="6">
        <v>0</v>
      </c>
      <c r="J13" s="6">
        <v>9</v>
      </c>
      <c r="K13" s="6">
        <v>3</v>
      </c>
      <c r="L13" s="6">
        <v>4</v>
      </c>
      <c r="M13" s="6">
        <v>1</v>
      </c>
      <c r="N13" s="6">
        <v>3</v>
      </c>
      <c r="O13" s="6">
        <v>0</v>
      </c>
      <c r="P13" s="6">
        <v>0</v>
      </c>
      <c r="Q13" s="6">
        <v>4</v>
      </c>
      <c r="R13" s="6">
        <v>3</v>
      </c>
      <c r="S13" s="6">
        <v>7</v>
      </c>
      <c r="T13" s="6">
        <v>5</v>
      </c>
      <c r="U13" s="6">
        <v>5</v>
      </c>
      <c r="W13" s="6">
        <v>5</v>
      </c>
      <c r="X13" s="6">
        <v>6</v>
      </c>
      <c r="Y13" s="6" t="s">
        <v>185</v>
      </c>
    </row>
    <row r="14" spans="1:27" s="6" customFormat="1" x14ac:dyDescent="0.35">
      <c r="D14" s="7"/>
      <c r="F14" s="7"/>
    </row>
    <row r="15" spans="1:27" x14ac:dyDescent="0.35">
      <c r="A15" s="6" t="s">
        <v>134</v>
      </c>
      <c r="B15" s="6" t="s">
        <v>135</v>
      </c>
      <c r="C15" s="6" t="s">
        <v>14</v>
      </c>
      <c r="D15" s="7">
        <v>32</v>
      </c>
      <c r="E15" s="6"/>
      <c r="F15" s="7">
        <f ca="1">INT(YEARFRAC(DATE(2002,1,1),TODAY()))</f>
        <v>16</v>
      </c>
      <c r="G15" s="6" t="s">
        <v>28</v>
      </c>
      <c r="H15" s="6">
        <v>13</v>
      </c>
      <c r="I15" s="6">
        <v>4</v>
      </c>
      <c r="J15" s="6">
        <v>3</v>
      </c>
      <c r="K15" s="6">
        <v>6</v>
      </c>
      <c r="L15" s="6">
        <v>5</v>
      </c>
      <c r="M15" s="6">
        <v>0</v>
      </c>
      <c r="N15" s="6">
        <v>1</v>
      </c>
      <c r="O15" s="6">
        <v>4</v>
      </c>
      <c r="P15" s="6">
        <v>1</v>
      </c>
      <c r="Q15" s="6"/>
      <c r="R15" s="6"/>
      <c r="S15" s="6"/>
      <c r="T15" s="6"/>
      <c r="U15" s="6"/>
      <c r="V15" s="6"/>
      <c r="W15" s="6"/>
      <c r="X15" s="6"/>
    </row>
    <row r="16" spans="1:27" x14ac:dyDescent="0.35">
      <c r="A16" t="s">
        <v>136</v>
      </c>
      <c r="B16" t="s">
        <v>135</v>
      </c>
      <c r="C16" t="s">
        <v>14</v>
      </c>
      <c r="D16" s="7">
        <v>23</v>
      </c>
      <c r="F16" s="7">
        <f ca="1">INT(YEARFRAC(DATE(2014,1,1),TODAY()))</f>
        <v>4</v>
      </c>
      <c r="G16" s="6" t="s">
        <v>28</v>
      </c>
      <c r="H16" s="6">
        <v>12</v>
      </c>
      <c r="I16" s="6">
        <v>2</v>
      </c>
      <c r="J16" s="6">
        <v>5</v>
      </c>
      <c r="K16" s="6">
        <v>5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/>
      <c r="T16" s="6"/>
      <c r="U16" s="6"/>
      <c r="V16" s="6"/>
      <c r="W16" s="6"/>
      <c r="X16" s="6"/>
    </row>
    <row r="17" spans="1:25" s="6" customFormat="1" x14ac:dyDescent="0.35">
      <c r="D17" s="7"/>
      <c r="F17" s="7"/>
    </row>
    <row r="18" spans="1:25" x14ac:dyDescent="0.35">
      <c r="A18" t="s">
        <v>55</v>
      </c>
      <c r="B18" t="s">
        <v>54</v>
      </c>
      <c r="C18" t="s">
        <v>14</v>
      </c>
      <c r="D18" s="7">
        <v>24</v>
      </c>
      <c r="E18">
        <v>71</v>
      </c>
      <c r="F18" s="7">
        <f ca="1">INT(YEARFRAC(DATE(2011,1,1),TODAY()))</f>
        <v>7</v>
      </c>
      <c r="G18" s="7" t="s">
        <v>27</v>
      </c>
      <c r="H18" s="6">
        <v>8</v>
      </c>
      <c r="I18" s="6">
        <v>2</v>
      </c>
      <c r="J18" s="6">
        <v>1</v>
      </c>
      <c r="K18" s="6">
        <v>5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6</v>
      </c>
      <c r="R18" s="6">
        <v>7</v>
      </c>
      <c r="S18" s="6">
        <v>6</v>
      </c>
      <c r="T18" s="6">
        <v>6</v>
      </c>
      <c r="U18" s="6">
        <v>8</v>
      </c>
      <c r="V18" s="6"/>
      <c r="W18" s="6">
        <v>6</v>
      </c>
      <c r="X18" s="6">
        <v>6</v>
      </c>
    </row>
    <row r="19" spans="1:25" x14ac:dyDescent="0.35">
      <c r="A19" t="s">
        <v>56</v>
      </c>
      <c r="B19" t="s">
        <v>54</v>
      </c>
      <c r="C19" t="s">
        <v>14</v>
      </c>
      <c r="D19" s="7">
        <v>38</v>
      </c>
      <c r="E19">
        <v>70</v>
      </c>
      <c r="F19" s="7">
        <f ca="1">INT(YEARFRAC(DATE(2001,1,1),TODAY()))</f>
        <v>17</v>
      </c>
      <c r="G19" s="7" t="s">
        <v>28</v>
      </c>
      <c r="H19" s="7">
        <v>16</v>
      </c>
      <c r="I19" s="7">
        <v>7</v>
      </c>
      <c r="J19" s="7">
        <v>6</v>
      </c>
      <c r="K19" s="7">
        <v>3</v>
      </c>
      <c r="L19" s="7">
        <v>10</v>
      </c>
      <c r="M19" s="7">
        <v>3</v>
      </c>
      <c r="N19" s="7">
        <v>0</v>
      </c>
      <c r="O19" s="7">
        <v>7</v>
      </c>
      <c r="P19" s="7">
        <v>0</v>
      </c>
      <c r="Q19" s="7">
        <v>6</v>
      </c>
      <c r="R19" s="7">
        <v>5</v>
      </c>
      <c r="S19" s="7">
        <v>7</v>
      </c>
      <c r="T19" s="7">
        <v>10</v>
      </c>
      <c r="U19" s="7">
        <v>7</v>
      </c>
      <c r="V19" s="7">
        <v>7</v>
      </c>
      <c r="W19" s="7">
        <v>7</v>
      </c>
      <c r="X19" s="7">
        <v>5</v>
      </c>
    </row>
    <row r="20" spans="1:25" x14ac:dyDescent="0.35">
      <c r="A20" t="s">
        <v>61</v>
      </c>
      <c r="B20" t="s">
        <v>54</v>
      </c>
      <c r="C20" t="s">
        <v>14</v>
      </c>
      <c r="D20" s="7">
        <v>28</v>
      </c>
      <c r="E20">
        <v>71</v>
      </c>
      <c r="F20" s="7">
        <f ca="1">INT(YEARFRAC(DATE(2010,1,1),TODAY()))</f>
        <v>8</v>
      </c>
      <c r="G20" t="s">
        <v>27</v>
      </c>
      <c r="H20">
        <v>13</v>
      </c>
      <c r="I20">
        <v>4</v>
      </c>
      <c r="J20">
        <v>5</v>
      </c>
      <c r="K20">
        <v>2</v>
      </c>
      <c r="L20">
        <v>2</v>
      </c>
      <c r="M20">
        <v>1</v>
      </c>
      <c r="N20">
        <v>0</v>
      </c>
      <c r="O20">
        <v>1</v>
      </c>
      <c r="P20">
        <v>0</v>
      </c>
      <c r="Q20">
        <v>7</v>
      </c>
      <c r="R20">
        <v>6</v>
      </c>
      <c r="S20">
        <v>7</v>
      </c>
      <c r="U20">
        <v>8</v>
      </c>
      <c r="V20">
        <v>6</v>
      </c>
      <c r="W20">
        <v>6</v>
      </c>
      <c r="X20">
        <v>6</v>
      </c>
      <c r="Y20" t="s">
        <v>63</v>
      </c>
    </row>
    <row r="21" spans="1:25" x14ac:dyDescent="0.35">
      <c r="A21" t="s">
        <v>62</v>
      </c>
      <c r="B21" t="s">
        <v>54</v>
      </c>
      <c r="C21" t="s">
        <v>14</v>
      </c>
      <c r="D21" s="7">
        <v>27</v>
      </c>
      <c r="E21">
        <v>73.5</v>
      </c>
      <c r="F21" s="7">
        <f ca="1">INT(YEARFRAC(DATE(2012,1,1),TODAY()))</f>
        <v>6</v>
      </c>
      <c r="G21" t="s">
        <v>28</v>
      </c>
      <c r="H21">
        <v>10</v>
      </c>
      <c r="I21">
        <v>0</v>
      </c>
      <c r="J21">
        <v>8</v>
      </c>
      <c r="K21">
        <v>2</v>
      </c>
      <c r="L21">
        <v>3</v>
      </c>
      <c r="M21">
        <v>0</v>
      </c>
      <c r="N21">
        <v>2</v>
      </c>
      <c r="O21">
        <v>1</v>
      </c>
      <c r="P21">
        <v>0</v>
      </c>
      <c r="Q21">
        <v>5</v>
      </c>
      <c r="R21">
        <v>5</v>
      </c>
      <c r="S21">
        <v>8</v>
      </c>
      <c r="U21">
        <v>6</v>
      </c>
      <c r="V21">
        <v>8</v>
      </c>
      <c r="W21">
        <v>7</v>
      </c>
      <c r="X21">
        <v>6</v>
      </c>
      <c r="Y21" t="s">
        <v>64</v>
      </c>
    </row>
    <row r="22" spans="1:25" x14ac:dyDescent="0.35">
      <c r="A22" t="s">
        <v>69</v>
      </c>
      <c r="B22" t="s">
        <v>54</v>
      </c>
      <c r="C22" t="s">
        <v>14</v>
      </c>
      <c r="D22" s="7">
        <v>28</v>
      </c>
      <c r="E22">
        <v>72</v>
      </c>
      <c r="F22" s="7">
        <f ca="1">INT(YEARFRAC(DATE(2008,1,1),TODAY()))</f>
        <v>10</v>
      </c>
      <c r="G22" t="s">
        <v>27</v>
      </c>
      <c r="H22">
        <v>12</v>
      </c>
      <c r="I22">
        <v>2</v>
      </c>
      <c r="J22">
        <v>5</v>
      </c>
      <c r="K22">
        <v>5</v>
      </c>
      <c r="L22">
        <v>9</v>
      </c>
      <c r="M22">
        <v>1</v>
      </c>
      <c r="N22">
        <v>5</v>
      </c>
      <c r="O22">
        <v>3</v>
      </c>
      <c r="P22">
        <v>1</v>
      </c>
      <c r="Q22">
        <v>7</v>
      </c>
      <c r="R22">
        <v>7</v>
      </c>
      <c r="S22">
        <v>7</v>
      </c>
      <c r="T22">
        <v>4</v>
      </c>
      <c r="U22">
        <v>7</v>
      </c>
      <c r="V22">
        <v>5</v>
      </c>
      <c r="W22">
        <v>7</v>
      </c>
      <c r="X22">
        <v>6</v>
      </c>
      <c r="Y22" t="s">
        <v>71</v>
      </c>
    </row>
    <row r="23" spans="1:25" x14ac:dyDescent="0.35">
      <c r="A23" t="s">
        <v>70</v>
      </c>
      <c r="B23" t="s">
        <v>54</v>
      </c>
      <c r="C23" t="s">
        <v>14</v>
      </c>
      <c r="D23" s="7">
        <v>24</v>
      </c>
      <c r="E23">
        <v>71</v>
      </c>
      <c r="F23" s="7"/>
      <c r="G23" t="s">
        <v>28</v>
      </c>
      <c r="H23">
        <v>18</v>
      </c>
      <c r="I23">
        <v>2</v>
      </c>
      <c r="J23">
        <v>9</v>
      </c>
      <c r="K23">
        <v>4</v>
      </c>
      <c r="L23">
        <v>2</v>
      </c>
      <c r="M23">
        <v>0</v>
      </c>
      <c r="N23">
        <v>0</v>
      </c>
      <c r="O23">
        <v>2</v>
      </c>
      <c r="P23">
        <v>0</v>
      </c>
      <c r="Q23">
        <v>4</v>
      </c>
      <c r="R23">
        <v>5</v>
      </c>
      <c r="S23">
        <v>6</v>
      </c>
      <c r="T23">
        <v>8</v>
      </c>
      <c r="U23">
        <v>6</v>
      </c>
      <c r="V23">
        <v>8</v>
      </c>
      <c r="W23">
        <v>5</v>
      </c>
      <c r="X23">
        <v>7</v>
      </c>
      <c r="Y23" t="s">
        <v>72</v>
      </c>
    </row>
    <row r="24" spans="1:25" x14ac:dyDescent="0.35">
      <c r="A24" t="s">
        <v>98</v>
      </c>
      <c r="B24" t="s">
        <v>54</v>
      </c>
      <c r="C24" t="s">
        <v>14</v>
      </c>
      <c r="D24" s="7">
        <v>29</v>
      </c>
      <c r="E24">
        <v>73</v>
      </c>
      <c r="F24" s="3">
        <f ca="1">INT(YEARFRAC(DATE(2007,1,1),TODAY()))</f>
        <v>11</v>
      </c>
      <c r="G24" t="s">
        <v>28</v>
      </c>
      <c r="H24">
        <v>14</v>
      </c>
      <c r="I24">
        <v>3</v>
      </c>
      <c r="J24">
        <v>9</v>
      </c>
      <c r="K24">
        <v>2</v>
      </c>
      <c r="L24">
        <v>4</v>
      </c>
      <c r="M24">
        <v>2</v>
      </c>
      <c r="N24">
        <v>0</v>
      </c>
      <c r="O24">
        <v>2</v>
      </c>
      <c r="P24">
        <v>0</v>
      </c>
    </row>
    <row r="25" spans="1:25" x14ac:dyDescent="0.35">
      <c r="A25" t="s">
        <v>99</v>
      </c>
      <c r="B25" t="s">
        <v>54</v>
      </c>
      <c r="C25" t="s">
        <v>14</v>
      </c>
      <c r="D25" s="7">
        <v>30</v>
      </c>
      <c r="E25">
        <v>66</v>
      </c>
      <c r="F25" s="7">
        <f ca="1">INT(YEARFRAC(DATE(2009,1,1),TODAY()))</f>
        <v>9</v>
      </c>
      <c r="G25" t="s">
        <v>28</v>
      </c>
      <c r="H25">
        <v>16</v>
      </c>
      <c r="I25">
        <v>4</v>
      </c>
      <c r="J25">
        <v>3</v>
      </c>
      <c r="K25">
        <v>9</v>
      </c>
      <c r="L25">
        <v>5</v>
      </c>
      <c r="M25">
        <v>1</v>
      </c>
      <c r="N25">
        <v>4</v>
      </c>
      <c r="O25">
        <v>0</v>
      </c>
      <c r="P25">
        <v>0</v>
      </c>
    </row>
    <row r="26" spans="1:25" x14ac:dyDescent="0.35">
      <c r="A26" t="s">
        <v>148</v>
      </c>
      <c r="B26" t="s">
        <v>54</v>
      </c>
      <c r="C26" t="s">
        <v>14</v>
      </c>
      <c r="D26" s="7">
        <v>33</v>
      </c>
      <c r="E26">
        <v>72</v>
      </c>
      <c r="F26" s="7">
        <f ca="1">INT(YEARFRAC(DATE(2003,1,1),TODAY()))</f>
        <v>15</v>
      </c>
      <c r="G26" t="s">
        <v>28</v>
      </c>
      <c r="H26">
        <v>11</v>
      </c>
      <c r="I26">
        <v>1</v>
      </c>
      <c r="J26">
        <v>5</v>
      </c>
      <c r="K26">
        <v>5</v>
      </c>
      <c r="L26">
        <v>7</v>
      </c>
      <c r="M26">
        <v>1</v>
      </c>
      <c r="N26">
        <v>0</v>
      </c>
      <c r="O26">
        <v>6</v>
      </c>
      <c r="P26">
        <v>0</v>
      </c>
      <c r="Q26">
        <v>6</v>
      </c>
      <c r="R26">
        <v>5</v>
      </c>
      <c r="S26">
        <v>5</v>
      </c>
      <c r="T26">
        <v>8</v>
      </c>
      <c r="U26">
        <v>6</v>
      </c>
      <c r="V26">
        <v>6</v>
      </c>
      <c r="W26">
        <v>7</v>
      </c>
      <c r="X26">
        <v>6</v>
      </c>
      <c r="Y26" t="s">
        <v>150</v>
      </c>
    </row>
    <row r="27" spans="1:25" x14ac:dyDescent="0.35">
      <c r="A27" t="s">
        <v>151</v>
      </c>
      <c r="B27" t="s">
        <v>54</v>
      </c>
      <c r="C27" t="s">
        <v>14</v>
      </c>
      <c r="D27" s="7">
        <v>27</v>
      </c>
      <c r="E27">
        <v>76</v>
      </c>
      <c r="F27" s="7">
        <f ca="1">INT(YEARFRAC(DATE(2006,1,1),TODAY()))</f>
        <v>12</v>
      </c>
      <c r="G27" t="s">
        <v>28</v>
      </c>
      <c r="H27">
        <v>18</v>
      </c>
      <c r="I27">
        <v>10</v>
      </c>
      <c r="J27">
        <v>5</v>
      </c>
      <c r="K27">
        <v>3</v>
      </c>
      <c r="L27">
        <v>4</v>
      </c>
      <c r="M27">
        <v>0</v>
      </c>
      <c r="N27">
        <v>2</v>
      </c>
      <c r="O27">
        <v>2</v>
      </c>
      <c r="P27">
        <v>1</v>
      </c>
      <c r="Q27">
        <v>5</v>
      </c>
      <c r="R27">
        <v>4</v>
      </c>
      <c r="S27">
        <v>4</v>
      </c>
      <c r="T27">
        <v>5</v>
      </c>
      <c r="U27">
        <v>4</v>
      </c>
      <c r="V27">
        <v>7</v>
      </c>
      <c r="W27">
        <v>4</v>
      </c>
      <c r="X27">
        <v>5</v>
      </c>
      <c r="Y27" t="s">
        <v>152</v>
      </c>
    </row>
    <row r="28" spans="1:25" x14ac:dyDescent="0.35">
      <c r="A28" t="s">
        <v>169</v>
      </c>
      <c r="B28" t="s">
        <v>54</v>
      </c>
      <c r="C28" t="s">
        <v>14</v>
      </c>
      <c r="D28" s="7">
        <v>30</v>
      </c>
      <c r="F28" s="7"/>
      <c r="G28" t="s">
        <v>28</v>
      </c>
      <c r="H28">
        <v>9</v>
      </c>
      <c r="I28">
        <v>4</v>
      </c>
      <c r="J28">
        <v>4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25" x14ac:dyDescent="0.35">
      <c r="A29" t="s">
        <v>170</v>
      </c>
      <c r="B29" t="s">
        <v>54</v>
      </c>
      <c r="C29" t="s">
        <v>14</v>
      </c>
      <c r="D29" s="7">
        <v>31</v>
      </c>
      <c r="E29">
        <v>66</v>
      </c>
      <c r="F29" s="7">
        <f ca="1">INT(YEARFRAC(DATE(2007,1,1),TODAY()))</f>
        <v>11</v>
      </c>
      <c r="G29" t="s">
        <v>28</v>
      </c>
      <c r="H29">
        <v>15</v>
      </c>
      <c r="I29">
        <v>8</v>
      </c>
      <c r="J29">
        <v>4</v>
      </c>
      <c r="K29">
        <v>3</v>
      </c>
      <c r="L29">
        <v>7</v>
      </c>
      <c r="M29">
        <v>2</v>
      </c>
      <c r="N29">
        <v>4</v>
      </c>
      <c r="O29">
        <v>1</v>
      </c>
      <c r="P29">
        <v>0</v>
      </c>
    </row>
    <row r="30" spans="1:25" s="6" customFormat="1" x14ac:dyDescent="0.35">
      <c r="D30" s="7"/>
      <c r="F30" s="7"/>
    </row>
    <row r="31" spans="1:25" x14ac:dyDescent="0.35">
      <c r="A31" t="s">
        <v>102</v>
      </c>
      <c r="B31" t="s">
        <v>121</v>
      </c>
      <c r="C31" t="s">
        <v>14</v>
      </c>
      <c r="D31" s="7">
        <v>31</v>
      </c>
      <c r="F31" s="7"/>
      <c r="G31" t="s">
        <v>28</v>
      </c>
      <c r="H31">
        <v>8</v>
      </c>
      <c r="I31">
        <v>0</v>
      </c>
      <c r="J31">
        <v>5</v>
      </c>
      <c r="K31">
        <v>3</v>
      </c>
      <c r="L31">
        <v>1</v>
      </c>
      <c r="M31">
        <v>0</v>
      </c>
      <c r="N31">
        <v>0</v>
      </c>
      <c r="O31">
        <v>1</v>
      </c>
      <c r="P31">
        <v>0</v>
      </c>
      <c r="Q31">
        <v>6</v>
      </c>
      <c r="R31">
        <v>7</v>
      </c>
      <c r="S31">
        <v>5</v>
      </c>
      <c r="T31">
        <v>7</v>
      </c>
      <c r="U31">
        <v>5</v>
      </c>
      <c r="X31">
        <v>6</v>
      </c>
      <c r="Y31" t="s">
        <v>122</v>
      </c>
    </row>
    <row r="32" spans="1:25" x14ac:dyDescent="0.35">
      <c r="A32" t="s">
        <v>103</v>
      </c>
      <c r="B32" t="s">
        <v>121</v>
      </c>
      <c r="C32" t="s">
        <v>14</v>
      </c>
      <c r="D32" s="3">
        <v>36</v>
      </c>
      <c r="E32">
        <v>76</v>
      </c>
      <c r="F32" s="7">
        <f ca="1">INT(YEARFRAC(DATE(2010,1,1),TODAY()))</f>
        <v>8</v>
      </c>
      <c r="G32" t="s">
        <v>28</v>
      </c>
      <c r="H32">
        <v>15</v>
      </c>
      <c r="I32">
        <v>8</v>
      </c>
      <c r="J32">
        <v>1</v>
      </c>
      <c r="K32">
        <v>6</v>
      </c>
      <c r="L32">
        <v>6</v>
      </c>
      <c r="M32">
        <v>2</v>
      </c>
      <c r="N32">
        <v>3</v>
      </c>
      <c r="O32">
        <v>1</v>
      </c>
      <c r="P32">
        <v>0</v>
      </c>
      <c r="Q32">
        <v>5</v>
      </c>
      <c r="R32">
        <v>5</v>
      </c>
      <c r="S32">
        <v>7</v>
      </c>
      <c r="T32">
        <v>6</v>
      </c>
      <c r="W32">
        <v>5</v>
      </c>
      <c r="X32">
        <v>7</v>
      </c>
      <c r="Y32" t="s">
        <v>123</v>
      </c>
    </row>
    <row r="33" spans="1:26" x14ac:dyDescent="0.35">
      <c r="A33" t="s">
        <v>165</v>
      </c>
      <c r="B33" t="s">
        <v>121</v>
      </c>
      <c r="C33" t="s">
        <v>14</v>
      </c>
      <c r="D33" s="3">
        <v>34</v>
      </c>
      <c r="E33">
        <v>79</v>
      </c>
      <c r="F33" s="7">
        <f ca="1">INT(YEARFRAC(DATE(2009,1,1),TODAY()))</f>
        <v>9</v>
      </c>
      <c r="G33" t="s">
        <v>28</v>
      </c>
      <c r="H33">
        <v>18</v>
      </c>
      <c r="I33">
        <v>14</v>
      </c>
      <c r="J33">
        <v>2</v>
      </c>
      <c r="K33">
        <v>2</v>
      </c>
      <c r="L33">
        <v>5</v>
      </c>
      <c r="M33">
        <v>3</v>
      </c>
      <c r="N33">
        <v>0</v>
      </c>
      <c r="O33">
        <v>2</v>
      </c>
      <c r="P33">
        <v>0</v>
      </c>
    </row>
    <row r="34" spans="1:26" s="6" customFormat="1" x14ac:dyDescent="0.35">
      <c r="A34" s="6" t="s">
        <v>166</v>
      </c>
      <c r="B34" s="6" t="s">
        <v>121</v>
      </c>
      <c r="C34" s="6" t="s">
        <v>14</v>
      </c>
      <c r="D34" s="7">
        <v>32</v>
      </c>
      <c r="E34" s="6">
        <v>79</v>
      </c>
      <c r="F34" s="7">
        <f ca="1">INT(YEARFRAC(DATE(2010,1,1),TODAY()))</f>
        <v>8</v>
      </c>
      <c r="G34" s="6" t="s">
        <v>28</v>
      </c>
      <c r="H34" s="6">
        <v>17</v>
      </c>
      <c r="I34" s="6">
        <v>15</v>
      </c>
      <c r="J34" s="6">
        <v>1</v>
      </c>
      <c r="K34" s="6">
        <v>1</v>
      </c>
      <c r="L34" s="6">
        <v>4</v>
      </c>
      <c r="M34" s="6">
        <v>2</v>
      </c>
      <c r="N34" s="6">
        <v>0</v>
      </c>
      <c r="O34" s="6">
        <v>2</v>
      </c>
      <c r="P34" s="6">
        <v>0</v>
      </c>
    </row>
    <row r="35" spans="1:26" s="6" customFormat="1" x14ac:dyDescent="0.35">
      <c r="A35" s="6" t="s">
        <v>186</v>
      </c>
      <c r="B35" s="6" t="s">
        <v>121</v>
      </c>
      <c r="C35" s="6" t="s">
        <v>14</v>
      </c>
      <c r="D35" s="7"/>
      <c r="F35" s="7"/>
    </row>
    <row r="36" spans="1:26" s="6" customFormat="1" x14ac:dyDescent="0.35">
      <c r="A36" s="6" t="s">
        <v>187</v>
      </c>
      <c r="B36" s="6" t="s">
        <v>121</v>
      </c>
      <c r="C36" s="6" t="s">
        <v>14</v>
      </c>
      <c r="D36" s="7"/>
      <c r="F36" s="7"/>
      <c r="H36" s="7">
        <v>5</v>
      </c>
      <c r="I36" s="7">
        <v>1</v>
      </c>
      <c r="J36" s="7">
        <v>3</v>
      </c>
      <c r="K36" s="7">
        <v>1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Y36" s="21" t="s">
        <v>188</v>
      </c>
    </row>
    <row r="37" spans="1:26" s="6" customFormat="1" x14ac:dyDescent="0.35">
      <c r="A37" s="6" t="s">
        <v>189</v>
      </c>
      <c r="B37" s="6" t="s">
        <v>121</v>
      </c>
      <c r="C37" s="6" t="s">
        <v>14</v>
      </c>
      <c r="D37" s="7">
        <v>33</v>
      </c>
      <c r="E37" s="6">
        <v>77</v>
      </c>
      <c r="F37" s="7">
        <f ca="1">INT(YEARFRAC(DATE(2009,1,1),TODAY()))</f>
        <v>9</v>
      </c>
      <c r="G37" s="6" t="s">
        <v>28</v>
      </c>
      <c r="H37" s="7">
        <v>11</v>
      </c>
      <c r="I37" s="7">
        <v>9</v>
      </c>
      <c r="J37" s="7">
        <v>2</v>
      </c>
      <c r="K37" s="7">
        <v>0</v>
      </c>
      <c r="L37" s="7">
        <v>3</v>
      </c>
      <c r="M37" s="7">
        <v>2</v>
      </c>
      <c r="N37" s="7">
        <v>1</v>
      </c>
      <c r="O37" s="7">
        <v>0</v>
      </c>
      <c r="P37" s="7">
        <v>0</v>
      </c>
      <c r="Y37" s="21" t="s">
        <v>190</v>
      </c>
      <c r="Z37" s="6" t="s">
        <v>191</v>
      </c>
    </row>
    <row r="38" spans="1:26" s="6" customFormat="1" x14ac:dyDescent="0.35">
      <c r="A38" s="6" t="s">
        <v>192</v>
      </c>
      <c r="B38" s="6" t="s">
        <v>121</v>
      </c>
      <c r="C38" s="6" t="s">
        <v>14</v>
      </c>
      <c r="D38" s="7">
        <v>23</v>
      </c>
      <c r="F38" s="7"/>
      <c r="G38" s="6" t="s">
        <v>28</v>
      </c>
      <c r="H38" s="7">
        <v>10</v>
      </c>
      <c r="I38" s="7">
        <v>3</v>
      </c>
      <c r="J38" s="7">
        <v>4</v>
      </c>
      <c r="K38" s="7">
        <v>3</v>
      </c>
      <c r="L38" s="7">
        <v>2</v>
      </c>
      <c r="M38" s="7">
        <v>2</v>
      </c>
      <c r="N38" s="7">
        <v>0</v>
      </c>
      <c r="O38" s="7">
        <v>0</v>
      </c>
      <c r="P38" s="7">
        <v>0</v>
      </c>
      <c r="Q38" s="7">
        <v>7</v>
      </c>
      <c r="R38" s="7">
        <v>4</v>
      </c>
      <c r="S38" s="6">
        <v>8</v>
      </c>
      <c r="T38" s="6">
        <v>7</v>
      </c>
      <c r="U38" s="6">
        <v>8</v>
      </c>
      <c r="W38" s="6">
        <v>7</v>
      </c>
      <c r="X38" s="6">
        <v>6</v>
      </c>
      <c r="Y38" s="21">
        <v>-200</v>
      </c>
    </row>
    <row r="39" spans="1:26" s="6" customFormat="1" x14ac:dyDescent="0.35">
      <c r="A39" s="6" t="s">
        <v>193</v>
      </c>
      <c r="B39" s="6" t="s">
        <v>121</v>
      </c>
      <c r="C39" s="6" t="s">
        <v>14</v>
      </c>
      <c r="D39" s="7">
        <v>31</v>
      </c>
      <c r="E39" s="6">
        <v>78</v>
      </c>
      <c r="F39" s="7"/>
      <c r="G39" s="6" t="s">
        <v>28</v>
      </c>
      <c r="H39" s="7">
        <v>14</v>
      </c>
      <c r="I39" s="7">
        <v>6</v>
      </c>
      <c r="J39" s="7">
        <v>6</v>
      </c>
      <c r="K39" s="7">
        <v>2</v>
      </c>
      <c r="L39" s="7">
        <v>2</v>
      </c>
      <c r="M39" s="7">
        <v>1</v>
      </c>
      <c r="N39" s="7">
        <v>0</v>
      </c>
      <c r="O39" s="7">
        <v>1</v>
      </c>
      <c r="P39" s="7">
        <v>0</v>
      </c>
      <c r="Q39" s="7">
        <v>6</v>
      </c>
      <c r="R39" s="7">
        <v>4</v>
      </c>
      <c r="S39" s="7">
        <v>6</v>
      </c>
      <c r="W39" s="6">
        <v>4</v>
      </c>
      <c r="X39" s="6">
        <v>7</v>
      </c>
      <c r="Y39" s="21">
        <v>200</v>
      </c>
    </row>
    <row r="40" spans="1:26" s="6" customFormat="1" x14ac:dyDescent="0.35">
      <c r="A40" s="6" t="s">
        <v>236</v>
      </c>
      <c r="B40" s="6" t="s">
        <v>121</v>
      </c>
      <c r="C40" s="6" t="s">
        <v>14</v>
      </c>
      <c r="D40" s="7">
        <v>29</v>
      </c>
      <c r="E40" s="6">
        <v>84</v>
      </c>
      <c r="F40" s="7">
        <f ca="1">INT(YEARFRAC(DATE(2005,1,1),TODAY()))</f>
        <v>13</v>
      </c>
      <c r="G40" s="6" t="s">
        <v>28</v>
      </c>
      <c r="H40" s="7">
        <v>28</v>
      </c>
      <c r="I40" s="7">
        <v>8</v>
      </c>
      <c r="J40" s="7">
        <v>17</v>
      </c>
      <c r="K40" s="7">
        <v>2</v>
      </c>
      <c r="L40" s="7">
        <v>8</v>
      </c>
      <c r="M40" s="7">
        <v>6</v>
      </c>
      <c r="N40" s="7">
        <v>1</v>
      </c>
      <c r="O40" s="7">
        <v>1</v>
      </c>
      <c r="P40" s="7">
        <v>0</v>
      </c>
      <c r="Q40" s="7"/>
      <c r="R40" s="7"/>
      <c r="S40" s="7"/>
      <c r="Y40" s="21" t="s">
        <v>238</v>
      </c>
      <c r="Z40" s="6">
        <v>2.0499999999999998</v>
      </c>
    </row>
    <row r="41" spans="1:26" s="6" customFormat="1" x14ac:dyDescent="0.35">
      <c r="A41" s="6" t="s">
        <v>237</v>
      </c>
      <c r="B41" s="6" t="s">
        <v>121</v>
      </c>
      <c r="C41" s="6" t="s">
        <v>14</v>
      </c>
      <c r="D41" s="7">
        <v>28</v>
      </c>
      <c r="E41" s="6">
        <v>81</v>
      </c>
      <c r="F41" s="7">
        <f ca="1">INT(YEARFRAC(DATE(2009,1,1),TODAY()))</f>
        <v>9</v>
      </c>
      <c r="G41" s="6" t="s">
        <v>28</v>
      </c>
      <c r="H41" s="7">
        <v>28</v>
      </c>
      <c r="I41" s="7">
        <v>18</v>
      </c>
      <c r="J41" s="7">
        <v>3</v>
      </c>
      <c r="K41" s="7">
        <v>7</v>
      </c>
      <c r="L41" s="7">
        <v>6</v>
      </c>
      <c r="M41" s="7">
        <v>1</v>
      </c>
      <c r="N41" s="7">
        <v>2</v>
      </c>
      <c r="O41" s="7">
        <v>3</v>
      </c>
      <c r="P41" s="7">
        <v>0</v>
      </c>
      <c r="Q41" s="7"/>
      <c r="R41" s="7"/>
      <c r="S41" s="7"/>
      <c r="Y41" s="21" t="s">
        <v>239</v>
      </c>
      <c r="Z41" s="6">
        <v>1.8</v>
      </c>
    </row>
    <row r="42" spans="1:26" s="6" customFormat="1" x14ac:dyDescent="0.35">
      <c r="D42" s="7"/>
      <c r="F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Y42" s="21"/>
    </row>
    <row r="43" spans="1:26" s="6" customFormat="1" x14ac:dyDescent="0.35">
      <c r="D43" s="7"/>
      <c r="F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Y43" s="21"/>
    </row>
    <row r="44" spans="1:26" s="6" customFormat="1" x14ac:dyDescent="0.35">
      <c r="D44" s="7"/>
      <c r="F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Y44" s="21"/>
    </row>
    <row r="45" spans="1:26" s="6" customFormat="1" x14ac:dyDescent="0.35">
      <c r="D45" s="7"/>
      <c r="F45" s="7"/>
    </row>
    <row r="46" spans="1:26" s="6" customFormat="1" x14ac:dyDescent="0.35">
      <c r="A46" s="6" t="s">
        <v>120</v>
      </c>
      <c r="B46" s="6" t="s">
        <v>124</v>
      </c>
      <c r="C46" s="6" t="s">
        <v>14</v>
      </c>
      <c r="D46" s="7">
        <v>41</v>
      </c>
      <c r="E46" s="6">
        <v>77.5</v>
      </c>
      <c r="F46" s="7">
        <f ca="1">INT(YEARFRAC(DATE(1997,1,1),TODAY()))</f>
        <v>21</v>
      </c>
      <c r="G46" s="6" t="s">
        <v>28</v>
      </c>
      <c r="H46" s="6">
        <v>33</v>
      </c>
      <c r="I46" s="6">
        <v>20</v>
      </c>
      <c r="J46" s="6">
        <v>6</v>
      </c>
      <c r="K46" s="6">
        <v>7</v>
      </c>
      <c r="L46" s="6">
        <v>8</v>
      </c>
      <c r="M46" s="6">
        <v>2</v>
      </c>
      <c r="N46" s="6">
        <v>2</v>
      </c>
      <c r="O46" s="6">
        <v>3</v>
      </c>
      <c r="P46" s="6">
        <v>0</v>
      </c>
      <c r="Q46" s="6">
        <v>10</v>
      </c>
      <c r="R46" s="6">
        <v>10</v>
      </c>
      <c r="S46" s="6">
        <v>7</v>
      </c>
      <c r="T46" s="6">
        <v>9</v>
      </c>
      <c r="U46" s="6">
        <v>6</v>
      </c>
      <c r="V46" s="6">
        <v>4</v>
      </c>
      <c r="W46" s="6">
        <v>10</v>
      </c>
      <c r="X46" s="6">
        <v>8</v>
      </c>
    </row>
    <row r="47" spans="1:26" s="6" customFormat="1" x14ac:dyDescent="0.35">
      <c r="A47" s="6" t="s">
        <v>125</v>
      </c>
      <c r="B47" s="6" t="s">
        <v>124</v>
      </c>
      <c r="C47" s="6" t="s">
        <v>14</v>
      </c>
      <c r="D47" s="7">
        <v>33</v>
      </c>
      <c r="E47" s="6">
        <v>77</v>
      </c>
      <c r="F47" s="7">
        <f ca="1">INT(YEARFRAC(DATE(2010,1,1),TODAY()))</f>
        <v>8</v>
      </c>
      <c r="G47" s="6" t="s">
        <v>28</v>
      </c>
      <c r="H47" s="6">
        <v>16</v>
      </c>
      <c r="I47" s="6">
        <v>8</v>
      </c>
      <c r="J47" s="6">
        <v>4</v>
      </c>
      <c r="K47" s="6">
        <v>4</v>
      </c>
      <c r="L47" s="6">
        <v>4</v>
      </c>
      <c r="M47" s="6">
        <v>3</v>
      </c>
      <c r="N47" s="6">
        <v>0</v>
      </c>
      <c r="O47" s="6">
        <v>1</v>
      </c>
      <c r="P47" s="6">
        <v>0</v>
      </c>
      <c r="Q47" s="6">
        <v>5</v>
      </c>
      <c r="R47" s="6">
        <v>4</v>
      </c>
      <c r="S47" s="6">
        <v>7</v>
      </c>
      <c r="T47" s="6">
        <v>5</v>
      </c>
      <c r="V47" s="6">
        <v>5</v>
      </c>
      <c r="W47" s="6">
        <v>4</v>
      </c>
      <c r="X47" s="6">
        <v>8</v>
      </c>
      <c r="Y47" s="6" t="s">
        <v>126</v>
      </c>
    </row>
    <row r="48" spans="1:26" s="6" customFormat="1" x14ac:dyDescent="0.35">
      <c r="A48" s="6" t="s">
        <v>127</v>
      </c>
      <c r="B48" s="6" t="s">
        <v>124</v>
      </c>
      <c r="C48" s="6" t="s">
        <v>14</v>
      </c>
      <c r="D48" s="7">
        <v>36</v>
      </c>
      <c r="E48" s="6">
        <v>74</v>
      </c>
      <c r="F48" s="7">
        <f ca="1">INT(YEARFRAC(DATE(2006,1,1),TODAY()))</f>
        <v>12</v>
      </c>
      <c r="G48" s="6" t="s">
        <v>28</v>
      </c>
      <c r="H48" s="6">
        <v>20</v>
      </c>
      <c r="I48" s="6">
        <v>10</v>
      </c>
      <c r="J48" s="6">
        <v>5</v>
      </c>
      <c r="K48" s="6">
        <v>5</v>
      </c>
      <c r="L48" s="6">
        <v>10</v>
      </c>
      <c r="M48" s="6">
        <v>4</v>
      </c>
      <c r="N48" s="6">
        <v>3</v>
      </c>
      <c r="O48" s="6">
        <v>3</v>
      </c>
      <c r="P48" s="6">
        <v>0</v>
      </c>
    </row>
    <row r="49" spans="1:26" s="6" customFormat="1" x14ac:dyDescent="0.35">
      <c r="A49" s="6" t="s">
        <v>128</v>
      </c>
      <c r="B49" s="6" t="s">
        <v>124</v>
      </c>
      <c r="C49" s="6" t="s">
        <v>14</v>
      </c>
      <c r="D49" s="7">
        <v>37</v>
      </c>
      <c r="E49" s="6">
        <v>72</v>
      </c>
      <c r="F49" s="7">
        <f ca="1">INT(YEARFRAC(DATE(2003,1,1),TODAY()))</f>
        <v>15</v>
      </c>
      <c r="G49" s="6" t="s">
        <v>28</v>
      </c>
      <c r="H49" s="6">
        <v>23</v>
      </c>
      <c r="I49" s="6">
        <v>3</v>
      </c>
      <c r="J49" s="6">
        <v>16</v>
      </c>
      <c r="K49" s="6">
        <v>4</v>
      </c>
      <c r="L49" s="6">
        <v>4</v>
      </c>
      <c r="M49" s="6">
        <v>2</v>
      </c>
      <c r="N49" s="6">
        <v>0</v>
      </c>
      <c r="O49" s="6">
        <v>2</v>
      </c>
      <c r="P49" s="6">
        <v>1</v>
      </c>
      <c r="Y49" s="6" t="s">
        <v>129</v>
      </c>
    </row>
    <row r="50" spans="1:26" s="6" customFormat="1" x14ac:dyDescent="0.35">
      <c r="A50" s="6" t="s">
        <v>130</v>
      </c>
      <c r="B50" s="6" t="s">
        <v>124</v>
      </c>
      <c r="C50" s="6" t="s">
        <v>14</v>
      </c>
      <c r="D50" s="7">
        <v>32</v>
      </c>
      <c r="E50" s="6">
        <v>74</v>
      </c>
      <c r="F50" s="7">
        <f ca="1">INT(YEARFRAC(DATE(2011,1,1),TODAY()))</f>
        <v>7</v>
      </c>
      <c r="G50" s="6" t="s">
        <v>28</v>
      </c>
      <c r="H50" s="6">
        <v>9</v>
      </c>
      <c r="I50" s="6">
        <v>4</v>
      </c>
      <c r="J50" s="6">
        <v>3</v>
      </c>
      <c r="K50" s="6">
        <v>2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6</v>
      </c>
      <c r="R50" s="6">
        <v>5</v>
      </c>
      <c r="S50" s="6">
        <v>4</v>
      </c>
      <c r="T50" s="6">
        <v>4</v>
      </c>
      <c r="U50" s="6">
        <v>7</v>
      </c>
      <c r="V50" s="6">
        <v>6</v>
      </c>
      <c r="W50" s="6">
        <v>7</v>
      </c>
      <c r="X50" s="6">
        <v>7</v>
      </c>
      <c r="Y50" s="6" t="s">
        <v>131</v>
      </c>
    </row>
    <row r="51" spans="1:26" s="6" customFormat="1" x14ac:dyDescent="0.35">
      <c r="A51" s="6" t="s">
        <v>132</v>
      </c>
      <c r="B51" s="6" t="s">
        <v>124</v>
      </c>
      <c r="C51" s="6" t="s">
        <v>14</v>
      </c>
      <c r="D51" s="7">
        <v>37</v>
      </c>
      <c r="E51" s="6">
        <v>76</v>
      </c>
      <c r="F51" s="7">
        <f ca="1">INT(YEARFRAC(DATE(2002,1,1),TODAY()))</f>
        <v>16</v>
      </c>
      <c r="G51" s="6" t="s">
        <v>28</v>
      </c>
      <c r="H51" s="6">
        <v>25</v>
      </c>
      <c r="I51" s="6">
        <v>15</v>
      </c>
      <c r="J51" s="6">
        <v>7</v>
      </c>
      <c r="K51" s="6">
        <v>3</v>
      </c>
      <c r="L51" s="6">
        <v>5</v>
      </c>
      <c r="M51" s="6">
        <v>2</v>
      </c>
      <c r="N51" s="6">
        <v>0</v>
      </c>
      <c r="O51" s="6">
        <v>3</v>
      </c>
      <c r="P51" s="6">
        <v>0</v>
      </c>
      <c r="Q51" s="6">
        <v>8</v>
      </c>
      <c r="R51" s="6">
        <v>4</v>
      </c>
      <c r="S51" s="6">
        <v>6</v>
      </c>
      <c r="T51" s="6">
        <v>9</v>
      </c>
      <c r="U51" s="6">
        <v>7</v>
      </c>
      <c r="V51" s="6">
        <v>7</v>
      </c>
      <c r="W51" s="6">
        <v>7</v>
      </c>
      <c r="X51" s="6">
        <v>8</v>
      </c>
      <c r="Y51" s="6" t="s">
        <v>133</v>
      </c>
    </row>
    <row r="52" spans="1:26" s="6" customFormat="1" x14ac:dyDescent="0.35">
      <c r="A52" s="6" t="s">
        <v>180</v>
      </c>
      <c r="B52" s="6" t="s">
        <v>124</v>
      </c>
      <c r="C52" s="6" t="s">
        <v>14</v>
      </c>
      <c r="D52" s="7"/>
      <c r="F52" s="7"/>
      <c r="H52" s="6">
        <v>5</v>
      </c>
      <c r="I52" s="6">
        <v>1</v>
      </c>
      <c r="J52" s="6">
        <v>4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T52" s="6">
        <v>7</v>
      </c>
      <c r="V52" s="6">
        <v>7</v>
      </c>
      <c r="Y52" s="21">
        <v>100</v>
      </c>
    </row>
    <row r="53" spans="1:26" s="6" customFormat="1" x14ac:dyDescent="0.35">
      <c r="A53" s="6" t="s">
        <v>181</v>
      </c>
      <c r="B53" s="6" t="s">
        <v>124</v>
      </c>
      <c r="C53" s="6" t="s">
        <v>14</v>
      </c>
      <c r="D53" s="7"/>
      <c r="F53" s="7"/>
      <c r="H53" s="6">
        <v>9</v>
      </c>
      <c r="I53" s="6">
        <v>1</v>
      </c>
      <c r="J53" s="6">
        <v>8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6</v>
      </c>
      <c r="R53" s="6">
        <v>7</v>
      </c>
      <c r="S53" s="6">
        <v>5</v>
      </c>
      <c r="T53" s="6">
        <v>7</v>
      </c>
      <c r="U53" s="6">
        <v>4</v>
      </c>
      <c r="W53" s="6">
        <v>7</v>
      </c>
      <c r="X53" s="6">
        <v>5</v>
      </c>
      <c r="Y53" s="21">
        <v>100</v>
      </c>
    </row>
    <row r="54" spans="1:26" s="6" customFormat="1" x14ac:dyDescent="0.35">
      <c r="D54" s="7"/>
      <c r="F54" s="7"/>
    </row>
    <row r="55" spans="1:26" s="6" customFormat="1" x14ac:dyDescent="0.35">
      <c r="A55" s="6" t="s">
        <v>10</v>
      </c>
      <c r="B55" s="6" t="s">
        <v>15</v>
      </c>
      <c r="C55" s="6" t="s">
        <v>14</v>
      </c>
      <c r="D55" s="7">
        <v>28</v>
      </c>
      <c r="E55" s="6">
        <v>74</v>
      </c>
      <c r="F55" s="7">
        <f ca="1">INT(YEARFRAC(DATE(2008,1,1),TODAY()))</f>
        <v>10</v>
      </c>
      <c r="G55" s="6" t="s">
        <v>27</v>
      </c>
      <c r="H55" s="6">
        <v>21</v>
      </c>
      <c r="I55" s="6">
        <v>18</v>
      </c>
      <c r="J55" s="6">
        <v>1</v>
      </c>
      <c r="K55" s="6">
        <v>2</v>
      </c>
      <c r="L55" s="6">
        <v>3</v>
      </c>
      <c r="M55" s="6">
        <v>0</v>
      </c>
      <c r="N55" s="6">
        <v>3</v>
      </c>
      <c r="O55" s="6">
        <v>0</v>
      </c>
      <c r="P55" s="6">
        <v>0</v>
      </c>
      <c r="Q55" s="6">
        <v>10</v>
      </c>
      <c r="R55" s="6">
        <v>8</v>
      </c>
      <c r="S55" s="6">
        <v>7</v>
      </c>
      <c r="U55" s="6">
        <v>6</v>
      </c>
      <c r="V55" s="6">
        <v>6</v>
      </c>
      <c r="W55" s="6">
        <v>10</v>
      </c>
      <c r="X55" s="6">
        <v>9</v>
      </c>
    </row>
    <row r="56" spans="1:26" x14ac:dyDescent="0.35">
      <c r="A56" t="s">
        <v>59</v>
      </c>
      <c r="B56" t="s">
        <v>15</v>
      </c>
      <c r="C56" t="s">
        <v>14</v>
      </c>
      <c r="D56" s="7">
        <v>24</v>
      </c>
      <c r="E56">
        <v>71.5</v>
      </c>
      <c r="F56" s="7">
        <f ca="1">INT(YEARFRAC(DATE(2008,1,1),TODAY()))</f>
        <v>10</v>
      </c>
      <c r="G56" s="7" t="s">
        <v>28</v>
      </c>
      <c r="H56" s="7">
        <v>22</v>
      </c>
      <c r="I56" s="7">
        <v>4</v>
      </c>
      <c r="J56" s="7">
        <v>12</v>
      </c>
      <c r="K56" s="7">
        <v>6</v>
      </c>
      <c r="L56" s="7">
        <v>5</v>
      </c>
      <c r="M56" s="7">
        <v>0</v>
      </c>
      <c r="N56" s="7">
        <v>1</v>
      </c>
      <c r="O56" s="7">
        <v>4</v>
      </c>
      <c r="P56" s="7">
        <v>0</v>
      </c>
      <c r="Q56" s="7">
        <v>6</v>
      </c>
      <c r="T56" s="7">
        <v>8</v>
      </c>
      <c r="U56" s="7">
        <v>6</v>
      </c>
      <c r="V56" s="7">
        <v>8</v>
      </c>
      <c r="W56" s="7">
        <v>7</v>
      </c>
      <c r="X56" s="7">
        <v>6</v>
      </c>
    </row>
    <row r="57" spans="1:26" x14ac:dyDescent="0.35">
      <c r="A57" t="s">
        <v>60</v>
      </c>
      <c r="B57" t="s">
        <v>15</v>
      </c>
      <c r="C57" t="s">
        <v>14</v>
      </c>
      <c r="D57" s="7">
        <v>32</v>
      </c>
      <c r="E57">
        <v>71.5</v>
      </c>
      <c r="F57" s="7">
        <f ca="1">INT(YEARFRAC(DATE(2004,1,1),TODAY()))</f>
        <v>14</v>
      </c>
      <c r="G57" s="7" t="s">
        <v>28</v>
      </c>
      <c r="H57" s="7">
        <v>26</v>
      </c>
      <c r="I57" s="7">
        <v>7</v>
      </c>
      <c r="J57" s="7">
        <v>18</v>
      </c>
      <c r="K57" s="7">
        <v>1</v>
      </c>
      <c r="L57" s="7">
        <v>12</v>
      </c>
      <c r="M57" s="7">
        <v>4</v>
      </c>
      <c r="N57" s="7">
        <v>3</v>
      </c>
      <c r="O57" s="7">
        <v>5</v>
      </c>
      <c r="P57" s="7">
        <v>0</v>
      </c>
      <c r="Q57" s="7">
        <v>7</v>
      </c>
      <c r="R57" s="7">
        <v>5</v>
      </c>
      <c r="S57" s="7">
        <v>6</v>
      </c>
      <c r="T57" s="7">
        <v>7</v>
      </c>
      <c r="U57" s="7">
        <v>5</v>
      </c>
      <c r="V57" s="7">
        <v>7</v>
      </c>
      <c r="W57" s="7">
        <v>6</v>
      </c>
      <c r="X57" s="7">
        <v>5</v>
      </c>
    </row>
    <row r="58" spans="1:26" s="6" customFormat="1" x14ac:dyDescent="0.35">
      <c r="A58" s="6" t="s">
        <v>107</v>
      </c>
      <c r="B58" s="6" t="s">
        <v>15</v>
      </c>
      <c r="C58" s="6" t="s">
        <v>14</v>
      </c>
      <c r="D58" s="7">
        <v>29</v>
      </c>
      <c r="E58" s="6">
        <v>76</v>
      </c>
      <c r="F58" s="7">
        <f ca="1">INT(YEARFRAC(DATE(2011,1,1),TODAY()))</f>
        <v>7</v>
      </c>
      <c r="G58" s="6" t="s">
        <v>28</v>
      </c>
      <c r="H58" s="6">
        <v>9</v>
      </c>
      <c r="I58" s="6">
        <v>1</v>
      </c>
      <c r="J58" s="6">
        <v>4</v>
      </c>
      <c r="K58" s="6">
        <v>4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5</v>
      </c>
      <c r="R58" s="6">
        <v>6</v>
      </c>
      <c r="S58" s="6">
        <v>4</v>
      </c>
      <c r="T58" s="6">
        <v>4</v>
      </c>
      <c r="U58" s="6">
        <v>4</v>
      </c>
      <c r="V58" s="6">
        <v>4</v>
      </c>
      <c r="W58" s="6">
        <v>4</v>
      </c>
      <c r="X58" s="6">
        <v>5</v>
      </c>
    </row>
    <row r="59" spans="1:26" s="6" customFormat="1" x14ac:dyDescent="0.35">
      <c r="A59" s="6" t="s">
        <v>108</v>
      </c>
      <c r="B59" s="6" t="s">
        <v>15</v>
      </c>
      <c r="C59" s="6" t="s">
        <v>14</v>
      </c>
      <c r="D59" s="7">
        <v>33</v>
      </c>
      <c r="E59" s="6">
        <v>70</v>
      </c>
      <c r="F59" s="7">
        <f ca="1">INT(YEARFRAC(DATE(2009,1,1),TODAY()))</f>
        <v>9</v>
      </c>
      <c r="G59" s="6" t="s">
        <v>28</v>
      </c>
      <c r="H59" s="6">
        <v>15</v>
      </c>
      <c r="I59" s="6">
        <v>5</v>
      </c>
      <c r="J59" s="6">
        <v>4</v>
      </c>
      <c r="K59" s="6">
        <v>0</v>
      </c>
      <c r="L59" s="6">
        <v>6</v>
      </c>
      <c r="M59" s="6">
        <v>1</v>
      </c>
      <c r="N59" s="6">
        <v>3</v>
      </c>
      <c r="O59" s="6">
        <v>2</v>
      </c>
      <c r="P59" s="6">
        <v>1</v>
      </c>
      <c r="Q59" s="6">
        <v>7</v>
      </c>
      <c r="R59" s="6">
        <v>5</v>
      </c>
      <c r="S59" s="6">
        <v>7</v>
      </c>
      <c r="T59" s="6">
        <v>5</v>
      </c>
      <c r="U59" s="6">
        <v>4</v>
      </c>
      <c r="V59" s="6">
        <v>6</v>
      </c>
      <c r="W59" s="6">
        <v>6</v>
      </c>
      <c r="X59" s="6">
        <v>6</v>
      </c>
    </row>
    <row r="60" spans="1:26" s="6" customFormat="1" x14ac:dyDescent="0.35">
      <c r="A60" s="6" t="s">
        <v>146</v>
      </c>
      <c r="B60" s="6" t="s">
        <v>15</v>
      </c>
      <c r="C60" s="6" t="s">
        <v>14</v>
      </c>
      <c r="D60" s="7">
        <v>32</v>
      </c>
      <c r="E60" s="6">
        <v>68</v>
      </c>
      <c r="F60" s="7">
        <f ca="1">INT(YEARFRAC(DATE(2005,1,1),TODAY()))</f>
        <v>13</v>
      </c>
      <c r="G60" s="6" t="s">
        <v>28</v>
      </c>
      <c r="H60" s="6">
        <v>29</v>
      </c>
      <c r="I60" s="6">
        <v>7</v>
      </c>
      <c r="J60" s="6">
        <v>10</v>
      </c>
      <c r="K60" s="6">
        <v>10</v>
      </c>
      <c r="L60" s="6">
        <v>7</v>
      </c>
      <c r="M60" s="6">
        <v>2</v>
      </c>
      <c r="N60" s="6">
        <v>2</v>
      </c>
      <c r="O60" s="6">
        <v>3</v>
      </c>
      <c r="P60" s="6">
        <v>3</v>
      </c>
      <c r="Y60" s="6" t="s">
        <v>153</v>
      </c>
    </row>
    <row r="61" spans="1:26" s="6" customFormat="1" x14ac:dyDescent="0.35">
      <c r="A61" s="6" t="s">
        <v>154</v>
      </c>
      <c r="B61" s="6" t="s">
        <v>15</v>
      </c>
      <c r="C61" s="6" t="s">
        <v>14</v>
      </c>
      <c r="D61" s="7">
        <v>25</v>
      </c>
      <c r="F61" s="7">
        <f ca="1">INT(YEARFRAC(DATE(2010,1,1),TODAY()))</f>
        <v>8</v>
      </c>
      <c r="G61" s="6" t="s">
        <v>28</v>
      </c>
      <c r="H61" s="6">
        <v>13</v>
      </c>
      <c r="I61" s="6">
        <v>2</v>
      </c>
      <c r="J61" s="6">
        <v>6</v>
      </c>
      <c r="K61" s="6">
        <v>5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Y61" s="6" t="s">
        <v>155</v>
      </c>
    </row>
    <row r="62" spans="1:26" s="6" customFormat="1" x14ac:dyDescent="0.35">
      <c r="A62" s="6" t="s">
        <v>194</v>
      </c>
      <c r="B62" s="6" t="s">
        <v>15</v>
      </c>
      <c r="C62" s="6" t="s">
        <v>14</v>
      </c>
      <c r="D62" s="7">
        <v>27</v>
      </c>
      <c r="E62" s="6">
        <v>73</v>
      </c>
      <c r="F62" s="7"/>
      <c r="H62" s="7">
        <v>5</v>
      </c>
      <c r="I62" s="7">
        <v>4</v>
      </c>
      <c r="J62" s="7">
        <v>0</v>
      </c>
      <c r="K62" s="7">
        <v>1</v>
      </c>
      <c r="L62" s="7">
        <v>1</v>
      </c>
      <c r="M62" s="7">
        <v>0</v>
      </c>
      <c r="N62" s="7">
        <v>0</v>
      </c>
      <c r="O62" s="7">
        <v>1</v>
      </c>
      <c r="P62" s="7">
        <v>0</v>
      </c>
      <c r="Q62" s="7">
        <v>6</v>
      </c>
      <c r="R62" s="7">
        <v>7</v>
      </c>
      <c r="S62" s="7">
        <v>5</v>
      </c>
      <c r="T62" s="7">
        <v>4</v>
      </c>
      <c r="U62" s="7">
        <v>6</v>
      </c>
      <c r="W62" s="6">
        <v>5</v>
      </c>
      <c r="X62" s="6">
        <v>7</v>
      </c>
      <c r="Y62" s="21">
        <v>150</v>
      </c>
    </row>
    <row r="63" spans="1:26" s="6" customFormat="1" x14ac:dyDescent="0.35">
      <c r="A63" s="6" t="s">
        <v>195</v>
      </c>
      <c r="B63" s="6" t="s">
        <v>15</v>
      </c>
      <c r="C63" s="6" t="s">
        <v>14</v>
      </c>
      <c r="D63" s="7">
        <v>24</v>
      </c>
      <c r="E63" s="6">
        <v>71</v>
      </c>
      <c r="F63" s="7">
        <f ca="1">INT(YEARFRAC(DATE(2012,1,1),TODAY()))</f>
        <v>6</v>
      </c>
      <c r="G63" s="6" t="s">
        <v>28</v>
      </c>
      <c r="H63" s="7">
        <v>9</v>
      </c>
      <c r="I63" s="7">
        <v>4</v>
      </c>
      <c r="J63" s="7">
        <v>4</v>
      </c>
      <c r="K63" s="7">
        <v>1</v>
      </c>
      <c r="L63" s="7">
        <v>1</v>
      </c>
      <c r="M63" s="7">
        <v>0</v>
      </c>
      <c r="N63" s="7">
        <v>1</v>
      </c>
      <c r="O63" s="7">
        <v>0</v>
      </c>
      <c r="P63" s="7">
        <v>0</v>
      </c>
      <c r="Q63" s="7">
        <v>8</v>
      </c>
      <c r="R63" s="7">
        <v>6</v>
      </c>
      <c r="S63" s="7">
        <v>5</v>
      </c>
      <c r="T63" s="7">
        <v>3</v>
      </c>
      <c r="U63" s="7">
        <v>6</v>
      </c>
      <c r="V63" s="7">
        <v>7</v>
      </c>
      <c r="W63" s="7">
        <v>8</v>
      </c>
      <c r="X63" s="7">
        <v>6</v>
      </c>
      <c r="Y63" s="22">
        <v>-150</v>
      </c>
      <c r="Z63" s="6" t="s">
        <v>196</v>
      </c>
    </row>
    <row r="64" spans="1:26" s="6" customFormat="1" x14ac:dyDescent="0.35">
      <c r="A64" s="6" t="s">
        <v>197</v>
      </c>
      <c r="B64" s="6" t="s">
        <v>15</v>
      </c>
      <c r="C64" s="6" t="s">
        <v>14</v>
      </c>
      <c r="D64" s="7">
        <v>28</v>
      </c>
      <c r="E64" s="6">
        <v>70</v>
      </c>
      <c r="F64" s="7">
        <f ca="1">INT(YEARFRAC(DATE(2008,1,1),TODAY()))</f>
        <v>10</v>
      </c>
      <c r="G64" s="6" t="s">
        <v>28</v>
      </c>
      <c r="H64" s="7">
        <v>24</v>
      </c>
      <c r="I64" s="7">
        <v>8</v>
      </c>
      <c r="J64" s="7">
        <v>8</v>
      </c>
      <c r="K64" s="7">
        <v>8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5</v>
      </c>
      <c r="R64" s="6">
        <v>5</v>
      </c>
      <c r="S64" s="6">
        <v>10</v>
      </c>
      <c r="T64" s="6">
        <v>8</v>
      </c>
      <c r="U64" s="6">
        <v>8</v>
      </c>
      <c r="V64" s="6">
        <v>5</v>
      </c>
      <c r="W64" s="6">
        <v>7</v>
      </c>
      <c r="X64" s="6">
        <v>6</v>
      </c>
    </row>
    <row r="65" spans="1:27" s="6" customFormat="1" x14ac:dyDescent="0.35">
      <c r="A65" s="6" t="s">
        <v>221</v>
      </c>
      <c r="B65" s="6" t="s">
        <v>15</v>
      </c>
      <c r="C65" s="6" t="s">
        <v>14</v>
      </c>
      <c r="D65" s="7">
        <v>27</v>
      </c>
      <c r="E65" s="6">
        <v>72</v>
      </c>
      <c r="F65" s="7">
        <f ca="1">INT(YEARFRAC(DATE(2009,1,1),TODAY()))</f>
        <v>9</v>
      </c>
      <c r="G65" s="6" t="s">
        <v>27</v>
      </c>
      <c r="H65" s="6">
        <v>14</v>
      </c>
      <c r="I65" s="6">
        <v>3</v>
      </c>
      <c r="J65" s="6">
        <v>6</v>
      </c>
      <c r="K65" s="6">
        <v>5</v>
      </c>
      <c r="L65" s="6">
        <v>2</v>
      </c>
      <c r="M65" s="6">
        <v>1</v>
      </c>
      <c r="N65" s="6">
        <v>1</v>
      </c>
      <c r="O65" s="6">
        <v>0</v>
      </c>
      <c r="P65" s="6">
        <v>0</v>
      </c>
      <c r="Q65" s="6">
        <v>6</v>
      </c>
      <c r="R65" s="6">
        <v>7</v>
      </c>
      <c r="S65" s="6">
        <v>5</v>
      </c>
      <c r="W65" s="6">
        <v>6</v>
      </c>
      <c r="X65" s="6">
        <v>5</v>
      </c>
      <c r="Y65" s="6" t="s">
        <v>222</v>
      </c>
      <c r="AA65" s="21">
        <v>160</v>
      </c>
    </row>
    <row r="66" spans="1:27" s="6" customFormat="1" x14ac:dyDescent="0.35">
      <c r="A66" s="6" t="s">
        <v>223</v>
      </c>
      <c r="B66" s="6" t="s">
        <v>15</v>
      </c>
      <c r="C66" s="6" t="s">
        <v>14</v>
      </c>
      <c r="D66" s="7">
        <v>31</v>
      </c>
      <c r="E66" s="6">
        <v>75</v>
      </c>
      <c r="F66" s="7">
        <f ca="1">INT(YEARFRAC(DATE(2009,1,1),TODAY()))</f>
        <v>9</v>
      </c>
      <c r="G66" s="6" t="s">
        <v>28</v>
      </c>
      <c r="H66" s="6">
        <v>18</v>
      </c>
      <c r="I66" s="6">
        <v>10</v>
      </c>
      <c r="J66" s="6">
        <v>1</v>
      </c>
      <c r="K66" s="6">
        <v>7</v>
      </c>
      <c r="L66" s="6">
        <v>4</v>
      </c>
      <c r="M66" s="6">
        <v>1</v>
      </c>
      <c r="N66" s="6">
        <v>2</v>
      </c>
      <c r="O66" s="6">
        <v>1</v>
      </c>
      <c r="P66" s="6">
        <v>0</v>
      </c>
      <c r="Q66" s="6">
        <v>7</v>
      </c>
      <c r="R66" s="6">
        <v>9</v>
      </c>
      <c r="S66" s="6">
        <v>6</v>
      </c>
      <c r="T66" s="6">
        <v>5</v>
      </c>
      <c r="U66" s="6">
        <v>7</v>
      </c>
      <c r="V66" s="6">
        <v>5</v>
      </c>
      <c r="W66" s="6">
        <v>6</v>
      </c>
      <c r="X66" s="6">
        <v>7</v>
      </c>
      <c r="Y66" s="6" t="s">
        <v>224</v>
      </c>
      <c r="AA66" s="21">
        <v>-160</v>
      </c>
    </row>
    <row r="67" spans="1:27" s="6" customFormat="1" x14ac:dyDescent="0.35">
      <c r="A67" s="6" t="s">
        <v>240</v>
      </c>
      <c r="B67" s="6" t="s">
        <v>15</v>
      </c>
      <c r="C67" s="6" t="s">
        <v>14</v>
      </c>
      <c r="D67" s="7">
        <v>30</v>
      </c>
      <c r="E67" s="6">
        <v>73</v>
      </c>
      <c r="F67" s="7">
        <f ca="1">INT(YEARFRAC(DATE(2007,1,1),TODAY()))</f>
        <v>11</v>
      </c>
      <c r="G67" s="6" t="s">
        <v>28</v>
      </c>
      <c r="H67" s="6">
        <v>21</v>
      </c>
      <c r="I67" s="6">
        <v>4</v>
      </c>
      <c r="J67" s="6">
        <v>5</v>
      </c>
      <c r="K67" s="6">
        <v>12</v>
      </c>
      <c r="L67" s="6">
        <v>3</v>
      </c>
      <c r="M67" s="6">
        <v>0</v>
      </c>
      <c r="N67" s="6">
        <v>1</v>
      </c>
      <c r="O67" s="6">
        <v>2</v>
      </c>
      <c r="P67" s="6">
        <v>0</v>
      </c>
      <c r="Y67" s="6" t="s">
        <v>241</v>
      </c>
      <c r="Z67" s="6">
        <v>130</v>
      </c>
      <c r="AA67" s="21"/>
    </row>
    <row r="68" spans="1:27" s="6" customFormat="1" x14ac:dyDescent="0.35">
      <c r="A68" s="6" t="s">
        <v>242</v>
      </c>
      <c r="B68" s="6" t="s">
        <v>15</v>
      </c>
      <c r="C68" s="6" t="s">
        <v>14</v>
      </c>
      <c r="D68" s="7">
        <v>27</v>
      </c>
      <c r="E68" s="6">
        <v>74</v>
      </c>
      <c r="F68" s="7">
        <f ca="1">INT(YEARFRAC(DATE(2011,1,1),TODAY()))</f>
        <v>7</v>
      </c>
      <c r="G68" s="6" t="s">
        <v>28</v>
      </c>
      <c r="H68" s="6">
        <v>20</v>
      </c>
      <c r="I68" s="6">
        <v>5</v>
      </c>
      <c r="J68" s="6">
        <v>1</v>
      </c>
      <c r="K68" s="6">
        <v>14</v>
      </c>
      <c r="L68" s="6">
        <v>5</v>
      </c>
      <c r="M68" s="6">
        <v>0</v>
      </c>
      <c r="N68" s="6">
        <v>2</v>
      </c>
      <c r="O68" s="6">
        <v>3</v>
      </c>
      <c r="P68" s="6">
        <v>0</v>
      </c>
      <c r="Y68" s="6" t="s">
        <v>243</v>
      </c>
      <c r="Z68" s="6">
        <v>375</v>
      </c>
      <c r="AA68" s="21"/>
    </row>
    <row r="69" spans="1:27" s="6" customFormat="1" x14ac:dyDescent="0.35">
      <c r="D69" s="7"/>
      <c r="F69" s="7"/>
    </row>
    <row r="70" spans="1:27" x14ac:dyDescent="0.35">
      <c r="A70" t="s">
        <v>82</v>
      </c>
      <c r="B70" t="s">
        <v>83</v>
      </c>
      <c r="C70" t="s">
        <v>14</v>
      </c>
      <c r="D70" s="7">
        <v>31</v>
      </c>
      <c r="E70">
        <v>76</v>
      </c>
      <c r="F70" s="7">
        <f ca="1">INT(YEARFRAC(DATE(2003,1,1),TODAY()))</f>
        <v>15</v>
      </c>
      <c r="G70" t="s">
        <v>28</v>
      </c>
      <c r="H70">
        <v>41</v>
      </c>
      <c r="I70">
        <v>22</v>
      </c>
      <c r="J70">
        <v>12</v>
      </c>
      <c r="K70">
        <v>7</v>
      </c>
      <c r="L70">
        <v>6</v>
      </c>
      <c r="M70">
        <v>1</v>
      </c>
      <c r="N70">
        <v>3</v>
      </c>
      <c r="O70">
        <v>2</v>
      </c>
      <c r="P70">
        <v>2</v>
      </c>
      <c r="Q70">
        <v>8</v>
      </c>
      <c r="R70">
        <v>6</v>
      </c>
      <c r="S70">
        <v>6</v>
      </c>
      <c r="T70">
        <v>7</v>
      </c>
      <c r="U70">
        <v>6</v>
      </c>
      <c r="V70">
        <v>8</v>
      </c>
      <c r="W70">
        <v>8</v>
      </c>
      <c r="X70">
        <v>7</v>
      </c>
      <c r="Y70" t="s">
        <v>85</v>
      </c>
    </row>
    <row r="71" spans="1:27" x14ac:dyDescent="0.35">
      <c r="A71" t="s">
        <v>84</v>
      </c>
      <c r="B71" t="s">
        <v>83</v>
      </c>
      <c r="C71" t="s">
        <v>14</v>
      </c>
      <c r="D71" s="7">
        <v>32</v>
      </c>
      <c r="E71">
        <v>78</v>
      </c>
      <c r="F71" s="7">
        <f ca="1">INT(YEARFRAC(DATE(2009,1,1),TODAY()))</f>
        <v>9</v>
      </c>
      <c r="G71" t="s">
        <v>28</v>
      </c>
      <c r="H71">
        <v>13</v>
      </c>
      <c r="I71">
        <v>6</v>
      </c>
      <c r="J71">
        <v>3</v>
      </c>
      <c r="K71">
        <v>4</v>
      </c>
      <c r="L71">
        <v>2</v>
      </c>
      <c r="M71">
        <v>2</v>
      </c>
      <c r="N71">
        <v>0</v>
      </c>
      <c r="O71">
        <v>0</v>
      </c>
      <c r="P71">
        <v>0</v>
      </c>
      <c r="Q71">
        <v>7</v>
      </c>
      <c r="R71">
        <v>7</v>
      </c>
      <c r="S71">
        <v>8</v>
      </c>
      <c r="T71">
        <v>8</v>
      </c>
      <c r="U71">
        <v>8</v>
      </c>
      <c r="V71">
        <v>6</v>
      </c>
      <c r="W71">
        <v>7</v>
      </c>
      <c r="X71">
        <v>6</v>
      </c>
    </row>
    <row r="72" spans="1:27" x14ac:dyDescent="0.35">
      <c r="A72" t="s">
        <v>160</v>
      </c>
      <c r="B72" t="s">
        <v>83</v>
      </c>
      <c r="C72" t="s">
        <v>14</v>
      </c>
      <c r="D72" s="7">
        <v>28</v>
      </c>
      <c r="E72">
        <v>75</v>
      </c>
      <c r="F72" s="7">
        <f ca="1">INT(YEARFRAC(DATE(2011,1,1),TODAY()))</f>
        <v>7</v>
      </c>
      <c r="G72" t="s">
        <v>28</v>
      </c>
      <c r="H72">
        <v>11</v>
      </c>
      <c r="I72">
        <v>5</v>
      </c>
      <c r="J72">
        <v>2</v>
      </c>
      <c r="K72">
        <v>4</v>
      </c>
      <c r="L72">
        <v>1</v>
      </c>
      <c r="M72">
        <v>0</v>
      </c>
      <c r="N72">
        <v>0</v>
      </c>
      <c r="O72">
        <v>1</v>
      </c>
      <c r="P72">
        <v>0</v>
      </c>
      <c r="Q72">
        <v>5</v>
      </c>
      <c r="R72">
        <v>7</v>
      </c>
      <c r="S72">
        <v>3</v>
      </c>
      <c r="U72">
        <v>7</v>
      </c>
      <c r="V72" t="s">
        <v>164</v>
      </c>
      <c r="W72">
        <v>5</v>
      </c>
      <c r="X72">
        <v>5</v>
      </c>
      <c r="Y72" t="s">
        <v>162</v>
      </c>
    </row>
    <row r="73" spans="1:27" x14ac:dyDescent="0.35">
      <c r="A73" t="s">
        <v>161</v>
      </c>
      <c r="B73" t="s">
        <v>83</v>
      </c>
      <c r="C73" t="s">
        <v>14</v>
      </c>
      <c r="D73" s="7">
        <v>31</v>
      </c>
      <c r="E73">
        <v>78</v>
      </c>
      <c r="F73" s="7">
        <f ca="1">INT(YEARFRAC(DATE(2007,1,1),TODAY()))</f>
        <v>11</v>
      </c>
      <c r="G73" t="s">
        <v>27</v>
      </c>
      <c r="H73">
        <v>10</v>
      </c>
      <c r="I73">
        <v>3</v>
      </c>
      <c r="J73">
        <v>2</v>
      </c>
      <c r="K73">
        <v>5</v>
      </c>
      <c r="L73">
        <v>5</v>
      </c>
      <c r="M73">
        <v>4</v>
      </c>
      <c r="N73">
        <v>0</v>
      </c>
      <c r="O73">
        <v>1</v>
      </c>
      <c r="P73">
        <v>0</v>
      </c>
      <c r="Q73">
        <v>5</v>
      </c>
      <c r="R73">
        <v>5</v>
      </c>
      <c r="S73">
        <v>4</v>
      </c>
      <c r="T73">
        <v>7</v>
      </c>
      <c r="W73">
        <v>5</v>
      </c>
      <c r="X73">
        <v>5</v>
      </c>
      <c r="Y73" t="s">
        <v>163</v>
      </c>
    </row>
    <row r="74" spans="1:27" x14ac:dyDescent="0.35">
      <c r="A74" t="s">
        <v>167</v>
      </c>
      <c r="B74" t="s">
        <v>83</v>
      </c>
      <c r="C74" t="s">
        <v>14</v>
      </c>
      <c r="D74" s="7">
        <v>39</v>
      </c>
      <c r="E74">
        <v>71</v>
      </c>
      <c r="F74" s="7">
        <f ca="1">INT(YEARFRAC(DATE(2004,1,1),TODAY()))</f>
        <v>14</v>
      </c>
      <c r="G74" t="s">
        <v>27</v>
      </c>
      <c r="H74">
        <v>34</v>
      </c>
      <c r="I74">
        <v>19</v>
      </c>
      <c r="J74">
        <v>7</v>
      </c>
      <c r="K74">
        <v>8</v>
      </c>
      <c r="L74">
        <v>6</v>
      </c>
      <c r="M74">
        <v>2</v>
      </c>
      <c r="N74">
        <v>0</v>
      </c>
      <c r="O74">
        <v>4</v>
      </c>
      <c r="P74">
        <v>3</v>
      </c>
    </row>
    <row r="75" spans="1:27" x14ac:dyDescent="0.35">
      <c r="A75" t="s">
        <v>168</v>
      </c>
      <c r="B75" t="s">
        <v>83</v>
      </c>
      <c r="C75" t="s">
        <v>14</v>
      </c>
      <c r="D75" s="7">
        <v>33</v>
      </c>
      <c r="E75">
        <v>69</v>
      </c>
      <c r="F75" s="7">
        <f ca="1">INT(YEARFRAC(DATE(2007,1,1),TODAY()))</f>
        <v>11</v>
      </c>
      <c r="G75" t="s">
        <v>28</v>
      </c>
      <c r="H75">
        <v>17</v>
      </c>
      <c r="I75">
        <v>8</v>
      </c>
      <c r="J75">
        <v>1</v>
      </c>
      <c r="K75">
        <v>8</v>
      </c>
      <c r="L75">
        <v>6</v>
      </c>
      <c r="M75">
        <v>1</v>
      </c>
      <c r="N75">
        <v>0</v>
      </c>
      <c r="O75">
        <v>5</v>
      </c>
      <c r="P75">
        <v>0</v>
      </c>
    </row>
    <row r="76" spans="1:27" x14ac:dyDescent="0.35">
      <c r="A76" t="s">
        <v>171</v>
      </c>
      <c r="B76" t="s">
        <v>83</v>
      </c>
      <c r="C76" t="s">
        <v>14</v>
      </c>
      <c r="D76" s="7">
        <v>33</v>
      </c>
      <c r="E76">
        <v>76</v>
      </c>
      <c r="F76" s="3">
        <f ca="1">INT(YEARFRAC(DATE(2010,1,1),TODAY()))</f>
        <v>8</v>
      </c>
      <c r="G76" t="s">
        <v>28</v>
      </c>
      <c r="H76">
        <v>13</v>
      </c>
      <c r="I76">
        <v>8</v>
      </c>
      <c r="J76">
        <v>1</v>
      </c>
      <c r="K76">
        <v>4</v>
      </c>
      <c r="L76">
        <v>5</v>
      </c>
      <c r="M76">
        <v>2</v>
      </c>
      <c r="N76">
        <v>2</v>
      </c>
      <c r="O76">
        <v>1</v>
      </c>
      <c r="P76">
        <v>0</v>
      </c>
    </row>
    <row r="77" spans="1:27" x14ac:dyDescent="0.35">
      <c r="A77" t="s">
        <v>172</v>
      </c>
      <c r="B77" t="s">
        <v>83</v>
      </c>
      <c r="C77" t="s">
        <v>14</v>
      </c>
      <c r="D77" s="7">
        <v>27</v>
      </c>
      <c r="F77" s="7"/>
      <c r="G77" t="s">
        <v>28</v>
      </c>
      <c r="H77">
        <v>21</v>
      </c>
      <c r="I77">
        <v>13</v>
      </c>
      <c r="J77">
        <v>5</v>
      </c>
      <c r="K77">
        <v>3</v>
      </c>
      <c r="L77">
        <v>5</v>
      </c>
      <c r="M77">
        <v>3</v>
      </c>
      <c r="N77">
        <v>0</v>
      </c>
      <c r="O77">
        <v>2</v>
      </c>
      <c r="P77">
        <v>0</v>
      </c>
      <c r="Q77">
        <v>7</v>
      </c>
      <c r="R77">
        <v>5</v>
      </c>
      <c r="S77">
        <v>6</v>
      </c>
      <c r="T77">
        <v>7</v>
      </c>
      <c r="U77">
        <v>5</v>
      </c>
      <c r="V77">
        <v>6</v>
      </c>
      <c r="W77">
        <v>7</v>
      </c>
      <c r="X77">
        <v>8</v>
      </c>
    </row>
    <row r="78" spans="1:27" s="6" customFormat="1" x14ac:dyDescent="0.35">
      <c r="A78" s="6" t="s">
        <v>198</v>
      </c>
      <c r="B78" s="6" t="s">
        <v>83</v>
      </c>
      <c r="C78" s="6" t="s">
        <v>14</v>
      </c>
      <c r="D78" s="7">
        <v>39</v>
      </c>
      <c r="E78" s="6">
        <v>73</v>
      </c>
      <c r="F78" s="7">
        <f ca="1">INT(YEARFRAC(DATE(2006,1,1),TODAY()))</f>
        <v>12</v>
      </c>
      <c r="G78" s="6" t="s">
        <v>199</v>
      </c>
      <c r="H78" s="6">
        <v>11</v>
      </c>
      <c r="I78" s="6">
        <v>3</v>
      </c>
      <c r="J78" s="6">
        <v>5</v>
      </c>
      <c r="K78" s="6">
        <v>3</v>
      </c>
      <c r="L78" s="6">
        <v>1</v>
      </c>
      <c r="M78" s="6">
        <v>1</v>
      </c>
      <c r="N78" s="6">
        <v>0</v>
      </c>
      <c r="O78" s="6">
        <v>0</v>
      </c>
      <c r="P78" s="6">
        <v>0</v>
      </c>
      <c r="Q78" s="6">
        <v>4</v>
      </c>
      <c r="R78" s="6">
        <v>2</v>
      </c>
      <c r="S78" s="6">
        <v>7</v>
      </c>
      <c r="T78" s="6">
        <v>6</v>
      </c>
      <c r="U78" s="6">
        <v>6</v>
      </c>
      <c r="V78" s="6">
        <v>8</v>
      </c>
      <c r="W78" s="6">
        <v>4</v>
      </c>
      <c r="X78" s="6">
        <v>6</v>
      </c>
      <c r="Y78" s="21">
        <v>150</v>
      </c>
    </row>
    <row r="79" spans="1:27" s="6" customFormat="1" x14ac:dyDescent="0.35">
      <c r="A79" s="6" t="s">
        <v>200</v>
      </c>
      <c r="B79" s="6" t="s">
        <v>83</v>
      </c>
      <c r="C79" s="6" t="s">
        <v>14</v>
      </c>
      <c r="D79" s="7">
        <v>37</v>
      </c>
      <c r="E79" s="6">
        <v>75</v>
      </c>
      <c r="F79" s="7">
        <f ca="1">INT(YEARFRAC(DATE(2003,1,1),TODAY()))</f>
        <v>15</v>
      </c>
      <c r="H79" s="7">
        <v>19</v>
      </c>
      <c r="I79" s="7">
        <v>8</v>
      </c>
      <c r="J79" s="7">
        <v>1</v>
      </c>
      <c r="K79" s="7">
        <v>10</v>
      </c>
      <c r="L79" s="7">
        <v>5</v>
      </c>
      <c r="M79" s="7">
        <v>2</v>
      </c>
      <c r="N79" s="7">
        <v>0</v>
      </c>
      <c r="O79" s="7">
        <v>3</v>
      </c>
      <c r="P79" s="7">
        <v>1</v>
      </c>
      <c r="Y79" s="21">
        <v>-150</v>
      </c>
    </row>
    <row r="80" spans="1:27" s="6" customFormat="1" x14ac:dyDescent="0.35">
      <c r="D80" s="7"/>
      <c r="F80" s="7"/>
    </row>
    <row r="81" spans="1:25" x14ac:dyDescent="0.35">
      <c r="A81" t="s">
        <v>100</v>
      </c>
      <c r="B81" t="s">
        <v>104</v>
      </c>
      <c r="C81" t="s">
        <v>14</v>
      </c>
      <c r="D81" s="7">
        <v>32</v>
      </c>
      <c r="E81">
        <v>65</v>
      </c>
      <c r="F81" s="7">
        <f ca="1">INT(YEARFRAC(DATE(2009,1,1),TODAY()))</f>
        <v>9</v>
      </c>
      <c r="G81" t="s">
        <v>28</v>
      </c>
      <c r="H81">
        <v>11</v>
      </c>
      <c r="I81">
        <v>1</v>
      </c>
      <c r="J81">
        <v>4</v>
      </c>
      <c r="K81">
        <v>6</v>
      </c>
      <c r="L81">
        <v>6</v>
      </c>
      <c r="M81">
        <v>0</v>
      </c>
      <c r="N81">
        <v>0</v>
      </c>
      <c r="O81">
        <v>6</v>
      </c>
      <c r="P81">
        <v>0</v>
      </c>
      <c r="Y81" t="s">
        <v>106</v>
      </c>
    </row>
    <row r="82" spans="1:25" x14ac:dyDescent="0.35">
      <c r="A82" t="s">
        <v>101</v>
      </c>
      <c r="B82" t="s">
        <v>104</v>
      </c>
      <c r="C82" t="s">
        <v>14</v>
      </c>
      <c r="D82" s="7">
        <v>23</v>
      </c>
      <c r="F82" s="3">
        <f ca="1">INT(YEARFRAC(DATE(2012,1,1),TODAY()))</f>
        <v>6</v>
      </c>
      <c r="H82">
        <v>9</v>
      </c>
      <c r="I82">
        <v>4</v>
      </c>
      <c r="J82">
        <v>0</v>
      </c>
      <c r="K82">
        <v>5</v>
      </c>
      <c r="L82">
        <v>0</v>
      </c>
      <c r="M82">
        <v>0</v>
      </c>
      <c r="N82">
        <v>0</v>
      </c>
      <c r="O82">
        <v>0</v>
      </c>
      <c r="P82">
        <v>0</v>
      </c>
      <c r="Y82" t="s">
        <v>105</v>
      </c>
    </row>
    <row r="83" spans="1:25" s="6" customFormat="1" x14ac:dyDescent="0.35">
      <c r="A83" s="6" t="s">
        <v>225</v>
      </c>
      <c r="B83" s="6" t="s">
        <v>104</v>
      </c>
      <c r="C83" s="6" t="s">
        <v>14</v>
      </c>
      <c r="D83" s="7">
        <v>25</v>
      </c>
      <c r="E83" s="6">
        <v>64</v>
      </c>
      <c r="F83" s="7"/>
      <c r="G83" s="6" t="s">
        <v>28</v>
      </c>
      <c r="H83" s="6">
        <v>2</v>
      </c>
      <c r="I83" s="6">
        <v>0</v>
      </c>
      <c r="J83" s="6">
        <v>1</v>
      </c>
      <c r="K83" s="6">
        <v>1</v>
      </c>
      <c r="L83" s="6">
        <v>2</v>
      </c>
      <c r="M83" s="6">
        <v>0</v>
      </c>
      <c r="N83" s="6">
        <v>2</v>
      </c>
      <c r="O83" s="6">
        <v>0</v>
      </c>
      <c r="P83" s="6">
        <v>0</v>
      </c>
      <c r="Y83" s="6" t="s">
        <v>226</v>
      </c>
    </row>
    <row r="84" spans="1:25" s="6" customFormat="1" x14ac:dyDescent="0.35">
      <c r="A84" s="6" t="s">
        <v>227</v>
      </c>
      <c r="B84" s="6" t="s">
        <v>104</v>
      </c>
      <c r="C84" s="6" t="s">
        <v>14</v>
      </c>
      <c r="D84" s="7"/>
      <c r="F84" s="7"/>
      <c r="G84" s="6" t="s">
        <v>28</v>
      </c>
      <c r="H84" s="6">
        <v>3</v>
      </c>
      <c r="I84" s="6">
        <v>2</v>
      </c>
      <c r="J84" s="6">
        <v>0</v>
      </c>
      <c r="K84" s="6">
        <v>1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Y84" s="6" t="s">
        <v>228</v>
      </c>
    </row>
    <row r="85" spans="1:25" s="6" customFormat="1" x14ac:dyDescent="0.35">
      <c r="D85" s="7"/>
      <c r="F85" s="7"/>
    </row>
    <row r="86" spans="1:25" s="6" customFormat="1" x14ac:dyDescent="0.35">
      <c r="A86" s="6" t="s">
        <v>65</v>
      </c>
      <c r="B86" s="6" t="s">
        <v>66</v>
      </c>
      <c r="C86" s="6" t="s">
        <v>14</v>
      </c>
      <c r="D86" s="7">
        <v>32</v>
      </c>
      <c r="E86" s="6">
        <v>74</v>
      </c>
      <c r="F86" s="7">
        <f ca="1">INT(YEARFRAC(DATE(2003,1,1),TODAY()))</f>
        <v>15</v>
      </c>
      <c r="G86" s="6" t="s">
        <v>28</v>
      </c>
      <c r="H86" s="6">
        <v>31</v>
      </c>
      <c r="I86" s="6">
        <v>12</v>
      </c>
      <c r="J86" s="6">
        <v>2</v>
      </c>
      <c r="K86" s="6">
        <v>17</v>
      </c>
      <c r="L86" s="6">
        <v>11</v>
      </c>
      <c r="M86" s="6">
        <v>1</v>
      </c>
      <c r="N86" s="6">
        <v>2</v>
      </c>
      <c r="O86" s="6">
        <v>8</v>
      </c>
      <c r="P86" s="6">
        <v>0</v>
      </c>
      <c r="Q86" s="6">
        <v>8</v>
      </c>
      <c r="R86" s="6">
        <v>6</v>
      </c>
      <c r="S86" s="6">
        <v>5</v>
      </c>
      <c r="T86" s="6">
        <v>7</v>
      </c>
      <c r="U86" s="6">
        <v>8</v>
      </c>
      <c r="V86" s="6">
        <v>8</v>
      </c>
      <c r="W86" s="6">
        <v>7</v>
      </c>
      <c r="X86" s="6">
        <v>6</v>
      </c>
      <c r="Y86" s="6" t="s">
        <v>68</v>
      </c>
    </row>
    <row r="87" spans="1:25" s="6" customFormat="1" x14ac:dyDescent="0.35">
      <c r="A87" s="6" t="s">
        <v>67</v>
      </c>
      <c r="B87" s="6" t="s">
        <v>66</v>
      </c>
      <c r="C87" s="6" t="s">
        <v>14</v>
      </c>
      <c r="D87" s="7">
        <v>33</v>
      </c>
      <c r="E87" s="6">
        <v>73</v>
      </c>
      <c r="F87" s="7">
        <f ca="1">INT(YEARFRAC(DATE(2002,1,1),TODAY()))</f>
        <v>16</v>
      </c>
      <c r="G87" s="6" t="s">
        <v>28</v>
      </c>
      <c r="H87" s="6">
        <v>32</v>
      </c>
      <c r="I87" s="6">
        <v>8</v>
      </c>
      <c r="J87" s="6">
        <v>16</v>
      </c>
      <c r="K87" s="6">
        <v>8</v>
      </c>
      <c r="L87" s="6">
        <v>7</v>
      </c>
      <c r="M87" s="6">
        <v>2</v>
      </c>
      <c r="N87" s="6">
        <v>1</v>
      </c>
      <c r="O87" s="6">
        <v>4</v>
      </c>
      <c r="P87" s="6">
        <v>1</v>
      </c>
      <c r="Q87" s="6">
        <v>7</v>
      </c>
      <c r="R87" s="6">
        <v>8</v>
      </c>
      <c r="S87" s="6">
        <v>5</v>
      </c>
      <c r="T87" s="6">
        <v>8</v>
      </c>
      <c r="U87" s="6">
        <v>7</v>
      </c>
      <c r="V87" s="6">
        <v>6</v>
      </c>
      <c r="W87" s="6">
        <v>8</v>
      </c>
      <c r="X87" s="6">
        <v>7</v>
      </c>
    </row>
    <row r="88" spans="1:25" s="6" customFormat="1" x14ac:dyDescent="0.35">
      <c r="A88" s="6" t="s">
        <v>139</v>
      </c>
      <c r="B88" s="6" t="s">
        <v>66</v>
      </c>
      <c r="C88" s="6" t="s">
        <v>14</v>
      </c>
      <c r="D88" s="7">
        <v>28</v>
      </c>
      <c r="E88" s="6">
        <v>72</v>
      </c>
      <c r="F88" s="7">
        <f ca="1">INT(YEARFRAC(DATE(2012,1,1),TODAY()))</f>
        <v>6</v>
      </c>
      <c r="G88" s="6" t="s">
        <v>28</v>
      </c>
      <c r="H88" s="6">
        <v>10</v>
      </c>
      <c r="I88" s="6">
        <v>4</v>
      </c>
      <c r="J88" s="6">
        <v>0</v>
      </c>
      <c r="K88" s="6">
        <v>6</v>
      </c>
      <c r="L88" s="6">
        <v>2</v>
      </c>
      <c r="M88" s="6">
        <v>1</v>
      </c>
      <c r="N88" s="6">
        <v>0</v>
      </c>
      <c r="O88" s="6">
        <v>1</v>
      </c>
      <c r="P88" s="6">
        <v>0</v>
      </c>
      <c r="Y88" s="6" t="s">
        <v>142</v>
      </c>
    </row>
    <row r="89" spans="1:25" s="6" customFormat="1" x14ac:dyDescent="0.35">
      <c r="A89" s="6" t="s">
        <v>140</v>
      </c>
      <c r="B89" s="6" t="s">
        <v>66</v>
      </c>
      <c r="C89" s="6" t="s">
        <v>14</v>
      </c>
      <c r="D89" s="7">
        <v>26</v>
      </c>
      <c r="E89" s="6">
        <v>78</v>
      </c>
      <c r="F89" s="7">
        <f ca="1">INT(YEARFRAC(DATE(2010,1,1),TODAY()))</f>
        <v>8</v>
      </c>
      <c r="G89" s="6" t="s">
        <v>28</v>
      </c>
      <c r="H89" s="6">
        <v>9</v>
      </c>
      <c r="I89" s="6">
        <v>5</v>
      </c>
      <c r="J89" s="6">
        <v>3</v>
      </c>
      <c r="K89" s="6">
        <v>1</v>
      </c>
      <c r="L89" s="6">
        <v>1</v>
      </c>
      <c r="M89" s="6">
        <v>0</v>
      </c>
      <c r="N89" s="6">
        <v>1</v>
      </c>
      <c r="O89" s="6">
        <v>0</v>
      </c>
      <c r="P89" s="6">
        <v>0</v>
      </c>
      <c r="Y89" s="6" t="s">
        <v>141</v>
      </c>
    </row>
  </sheetData>
  <sortState ref="A2:AA56">
    <sortCondition ref="B2:B56"/>
  </sortState>
  <mergeCells count="2">
    <mergeCell ref="Z1:AA1"/>
    <mergeCell ref="Z6:AA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90"/>
  <sheetViews>
    <sheetView topLeftCell="D58" workbookViewId="0">
      <selection activeCell="J68" sqref="J68"/>
    </sheetView>
  </sheetViews>
  <sheetFormatPr defaultRowHeight="14.5" x14ac:dyDescent="0.35"/>
  <cols>
    <col min="1" max="1" width="10.54296875" style="5" bestFit="1" customWidth="1"/>
    <col min="2" max="2" width="17.54296875" bestFit="1" customWidth="1"/>
    <col min="4" max="4" width="9.453125" bestFit="1" customWidth="1"/>
    <col min="10" max="10" width="14.54296875" customWidth="1"/>
    <col min="11" max="11" width="12.26953125" customWidth="1"/>
    <col min="12" max="12" width="11.36328125" customWidth="1"/>
  </cols>
  <sheetData>
    <row r="1" spans="1:14" x14ac:dyDescent="0.35">
      <c r="A1" s="5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94</v>
      </c>
      <c r="G1" t="s">
        <v>48</v>
      </c>
      <c r="H1" t="s">
        <v>53</v>
      </c>
      <c r="I1" t="s">
        <v>89</v>
      </c>
      <c r="J1" t="s">
        <v>91</v>
      </c>
      <c r="K1" s="16" t="s">
        <v>149</v>
      </c>
      <c r="L1" s="17">
        <v>0.01</v>
      </c>
      <c r="M1" s="17">
        <v>0.03</v>
      </c>
      <c r="N1" s="17">
        <v>0.05</v>
      </c>
    </row>
    <row r="2" spans="1:14" x14ac:dyDescent="0.35">
      <c r="A2" s="5" t="s">
        <v>42</v>
      </c>
      <c r="B2" t="s">
        <v>43</v>
      </c>
      <c r="C2" t="s">
        <v>44</v>
      </c>
      <c r="D2" t="s">
        <v>25</v>
      </c>
      <c r="E2" s="3">
        <v>117</v>
      </c>
      <c r="F2" s="18">
        <v>4</v>
      </c>
      <c r="G2" s="18">
        <v>4.68</v>
      </c>
      <c r="H2" t="s">
        <v>52</v>
      </c>
      <c r="I2">
        <f>SUMIF(H2,"Win",G2) - SUMIF(H2,"Lose",(F2))</f>
        <v>4.68</v>
      </c>
      <c r="J2">
        <f>82+I2</f>
        <v>86.68</v>
      </c>
      <c r="K2" s="10">
        <f>J42</f>
        <v>123.03000000000003</v>
      </c>
      <c r="L2" s="10">
        <f>L1*K2</f>
        <v>1.2303000000000004</v>
      </c>
      <c r="M2" s="10">
        <f>K2*M1</f>
        <v>3.690900000000001</v>
      </c>
      <c r="N2" s="10">
        <f>K2*N1</f>
        <v>6.1515000000000022</v>
      </c>
    </row>
    <row r="3" spans="1:14" x14ac:dyDescent="0.35">
      <c r="A3" s="5" t="s">
        <v>42</v>
      </c>
      <c r="B3" t="s">
        <v>43</v>
      </c>
      <c r="C3" t="s">
        <v>45</v>
      </c>
      <c r="D3" t="s">
        <v>46</v>
      </c>
      <c r="E3">
        <v>-200</v>
      </c>
      <c r="F3" s="18">
        <v>4</v>
      </c>
      <c r="G3" s="18">
        <v>2</v>
      </c>
      <c r="H3" t="s">
        <v>52</v>
      </c>
      <c r="I3" s="6">
        <f t="shared" ref="I3:I21" si="0">SUMIF(H3,"Win",G3) - SUMIF(H3,"Lose",(F3))</f>
        <v>2</v>
      </c>
      <c r="J3">
        <f>J2+I3</f>
        <v>88.68</v>
      </c>
    </row>
    <row r="4" spans="1:14" x14ac:dyDescent="0.35">
      <c r="A4" s="5" t="s">
        <v>42</v>
      </c>
      <c r="B4" t="s">
        <v>47</v>
      </c>
      <c r="C4" t="s">
        <v>44</v>
      </c>
      <c r="D4" t="s">
        <v>33</v>
      </c>
      <c r="E4">
        <v>180</v>
      </c>
      <c r="F4" s="18">
        <v>2.5</v>
      </c>
      <c r="G4" s="18">
        <v>4.5</v>
      </c>
      <c r="H4" t="s">
        <v>52</v>
      </c>
      <c r="I4" s="6">
        <f t="shared" si="0"/>
        <v>4.5</v>
      </c>
      <c r="J4" s="6">
        <f t="shared" ref="J4:J21" si="1">J3+I4</f>
        <v>93.18</v>
      </c>
    </row>
    <row r="5" spans="1:14" x14ac:dyDescent="0.35">
      <c r="A5" s="5" t="s">
        <v>42</v>
      </c>
      <c r="B5" t="s">
        <v>49</v>
      </c>
      <c r="C5" t="s">
        <v>44</v>
      </c>
      <c r="D5" t="s">
        <v>35</v>
      </c>
      <c r="E5">
        <v>-230</v>
      </c>
      <c r="F5" s="18">
        <v>2.2999999999999998</v>
      </c>
      <c r="G5" s="18">
        <v>1</v>
      </c>
      <c r="H5" t="s">
        <v>52</v>
      </c>
      <c r="I5" s="6">
        <f t="shared" si="0"/>
        <v>1</v>
      </c>
      <c r="J5" s="6">
        <f t="shared" si="1"/>
        <v>94.18</v>
      </c>
    </row>
    <row r="6" spans="1:14" x14ac:dyDescent="0.35">
      <c r="A6" s="5" t="s">
        <v>42</v>
      </c>
      <c r="B6" t="s">
        <v>51</v>
      </c>
      <c r="C6" t="s">
        <v>44</v>
      </c>
      <c r="D6" t="s">
        <v>50</v>
      </c>
      <c r="E6">
        <v>-138</v>
      </c>
      <c r="F6" s="18">
        <v>4.1399999999999997</v>
      </c>
      <c r="G6" s="18">
        <v>3</v>
      </c>
      <c r="H6" t="s">
        <v>52</v>
      </c>
      <c r="I6" s="6">
        <f t="shared" si="0"/>
        <v>3</v>
      </c>
      <c r="J6" s="6">
        <f t="shared" si="1"/>
        <v>97.18</v>
      </c>
    </row>
    <row r="7" spans="1:14" x14ac:dyDescent="0.35">
      <c r="A7" s="5">
        <v>42751</v>
      </c>
      <c r="B7" t="s">
        <v>57</v>
      </c>
      <c r="C7" t="s">
        <v>45</v>
      </c>
      <c r="D7" t="s">
        <v>58</v>
      </c>
      <c r="E7">
        <v>-110</v>
      </c>
      <c r="F7" s="18">
        <v>3</v>
      </c>
      <c r="G7" s="18">
        <v>2.73</v>
      </c>
      <c r="H7" t="s">
        <v>73</v>
      </c>
      <c r="I7" s="6">
        <f t="shared" si="0"/>
        <v>-3</v>
      </c>
      <c r="J7" s="6">
        <f t="shared" si="1"/>
        <v>94.18</v>
      </c>
    </row>
    <row r="8" spans="1:14" x14ac:dyDescent="0.35">
      <c r="A8" s="5">
        <v>42751</v>
      </c>
      <c r="B8" t="s">
        <v>80</v>
      </c>
      <c r="C8" t="s">
        <v>44</v>
      </c>
      <c r="D8" t="s">
        <v>62</v>
      </c>
      <c r="E8">
        <v>-160</v>
      </c>
      <c r="F8" s="18">
        <v>3</v>
      </c>
      <c r="G8" s="18">
        <v>1.36</v>
      </c>
      <c r="H8" t="s">
        <v>52</v>
      </c>
      <c r="I8" s="6">
        <f t="shared" si="0"/>
        <v>1.36</v>
      </c>
      <c r="J8" s="6">
        <f t="shared" si="1"/>
        <v>95.54</v>
      </c>
    </row>
    <row r="9" spans="1:14" x14ac:dyDescent="0.35">
      <c r="A9" s="5">
        <v>42751</v>
      </c>
      <c r="B9" t="s">
        <v>81</v>
      </c>
      <c r="C9" t="s">
        <v>45</v>
      </c>
      <c r="D9" t="s">
        <v>45</v>
      </c>
      <c r="E9">
        <v>161</v>
      </c>
      <c r="F9" s="18">
        <v>3</v>
      </c>
      <c r="G9" s="18">
        <v>4.83</v>
      </c>
      <c r="H9" t="s">
        <v>73</v>
      </c>
      <c r="I9" s="6">
        <f t="shared" si="0"/>
        <v>-3</v>
      </c>
      <c r="J9" s="6">
        <f t="shared" si="1"/>
        <v>92.54</v>
      </c>
    </row>
    <row r="10" spans="1:14" x14ac:dyDescent="0.35">
      <c r="A10" s="5">
        <v>42763</v>
      </c>
      <c r="B10" t="s">
        <v>74</v>
      </c>
      <c r="C10" t="s">
        <v>44</v>
      </c>
      <c r="D10" t="s">
        <v>75</v>
      </c>
      <c r="E10">
        <v>-105</v>
      </c>
      <c r="F10" s="18">
        <v>4</v>
      </c>
      <c r="G10" s="18">
        <v>3.81</v>
      </c>
      <c r="H10" s="6" t="s">
        <v>52</v>
      </c>
      <c r="I10" s="6">
        <f t="shared" si="0"/>
        <v>3.81</v>
      </c>
      <c r="J10" s="6">
        <f t="shared" si="1"/>
        <v>96.350000000000009</v>
      </c>
    </row>
    <row r="11" spans="1:14" x14ac:dyDescent="0.35">
      <c r="A11" s="5">
        <v>42763</v>
      </c>
      <c r="B11" t="s">
        <v>76</v>
      </c>
      <c r="C11" t="s">
        <v>45</v>
      </c>
      <c r="D11" t="s">
        <v>77</v>
      </c>
      <c r="E11">
        <v>185</v>
      </c>
      <c r="F11" s="18">
        <v>3</v>
      </c>
      <c r="G11" s="18">
        <v>5.55</v>
      </c>
      <c r="H11" s="6" t="s">
        <v>52</v>
      </c>
      <c r="I11" s="6">
        <f t="shared" si="0"/>
        <v>5.55</v>
      </c>
      <c r="J11" s="6">
        <f t="shared" si="1"/>
        <v>101.9</v>
      </c>
    </row>
    <row r="12" spans="1:14" x14ac:dyDescent="0.35">
      <c r="A12" s="5">
        <v>42763</v>
      </c>
      <c r="B12" t="s">
        <v>78</v>
      </c>
      <c r="C12" t="s">
        <v>45</v>
      </c>
      <c r="D12" t="s">
        <v>46</v>
      </c>
      <c r="E12">
        <v>-180</v>
      </c>
      <c r="F12" s="18">
        <v>4</v>
      </c>
      <c r="G12" s="18">
        <v>2.2200000000000002</v>
      </c>
      <c r="H12" s="6" t="s">
        <v>52</v>
      </c>
      <c r="I12" s="6">
        <f t="shared" si="0"/>
        <v>2.2200000000000002</v>
      </c>
      <c r="J12" s="6">
        <f t="shared" si="1"/>
        <v>104.12</v>
      </c>
    </row>
    <row r="13" spans="1:14" x14ac:dyDescent="0.35">
      <c r="A13" s="5">
        <v>42763</v>
      </c>
      <c r="B13" t="s">
        <v>79</v>
      </c>
      <c r="C13" t="s">
        <v>45</v>
      </c>
      <c r="D13" t="s">
        <v>77</v>
      </c>
      <c r="E13">
        <v>185</v>
      </c>
      <c r="F13" s="18">
        <v>4</v>
      </c>
      <c r="G13" s="18">
        <v>7.4</v>
      </c>
      <c r="H13" s="6" t="s">
        <v>52</v>
      </c>
      <c r="I13" s="6">
        <f t="shared" si="0"/>
        <v>7.4</v>
      </c>
      <c r="J13" s="6">
        <f t="shared" si="1"/>
        <v>111.52000000000001</v>
      </c>
    </row>
    <row r="14" spans="1:14" x14ac:dyDescent="0.35">
      <c r="A14" s="5">
        <v>42763</v>
      </c>
      <c r="B14" s="6" t="s">
        <v>79</v>
      </c>
      <c r="C14" t="s">
        <v>44</v>
      </c>
      <c r="D14" t="s">
        <v>70</v>
      </c>
      <c r="E14">
        <v>-160</v>
      </c>
      <c r="F14" s="18">
        <v>4.8</v>
      </c>
      <c r="G14" s="18">
        <v>3</v>
      </c>
      <c r="H14" s="6" t="s">
        <v>52</v>
      </c>
      <c r="I14" s="6">
        <f t="shared" si="0"/>
        <v>3</v>
      </c>
      <c r="J14" s="6">
        <f t="shared" si="1"/>
        <v>114.52000000000001</v>
      </c>
    </row>
    <row r="15" spans="1:14" x14ac:dyDescent="0.35">
      <c r="A15" s="13">
        <v>42857</v>
      </c>
      <c r="B15" s="14" t="s">
        <v>109</v>
      </c>
      <c r="C15" s="14" t="s">
        <v>44</v>
      </c>
      <c r="D15" s="14" t="s">
        <v>100</v>
      </c>
      <c r="E15" s="14">
        <v>235</v>
      </c>
      <c r="F15" s="19">
        <v>3</v>
      </c>
      <c r="G15" s="19">
        <v>7.05</v>
      </c>
      <c r="H15" s="14" t="s">
        <v>52</v>
      </c>
      <c r="I15" s="6">
        <f t="shared" si="0"/>
        <v>7.05</v>
      </c>
      <c r="J15" s="6">
        <f t="shared" si="1"/>
        <v>121.57000000000001</v>
      </c>
    </row>
    <row r="16" spans="1:14" x14ac:dyDescent="0.35">
      <c r="A16" s="11">
        <v>42857</v>
      </c>
      <c r="B16" s="12" t="s">
        <v>110</v>
      </c>
      <c r="C16" s="12" t="s">
        <v>44</v>
      </c>
      <c r="D16" s="12" t="s">
        <v>111</v>
      </c>
      <c r="E16" s="12">
        <v>160</v>
      </c>
      <c r="F16" s="20">
        <v>4</v>
      </c>
      <c r="G16" s="20">
        <v>6.4</v>
      </c>
      <c r="H16" s="12" t="s">
        <v>52</v>
      </c>
      <c r="I16" s="6">
        <f t="shared" si="0"/>
        <v>6.4</v>
      </c>
      <c r="J16" s="6">
        <f t="shared" si="1"/>
        <v>127.97000000000001</v>
      </c>
    </row>
    <row r="17" spans="1:10" x14ac:dyDescent="0.35">
      <c r="A17" s="13">
        <v>42857</v>
      </c>
      <c r="B17" s="14" t="s">
        <v>112</v>
      </c>
      <c r="C17" s="14" t="s">
        <v>44</v>
      </c>
      <c r="D17" s="14" t="s">
        <v>102</v>
      </c>
      <c r="E17" s="14">
        <v>150</v>
      </c>
      <c r="F17" s="19">
        <v>4</v>
      </c>
      <c r="G17" s="19">
        <v>6</v>
      </c>
      <c r="H17" s="14" t="s">
        <v>52</v>
      </c>
      <c r="I17" s="6">
        <f t="shared" si="0"/>
        <v>6</v>
      </c>
      <c r="J17" s="6">
        <f t="shared" si="1"/>
        <v>133.97000000000003</v>
      </c>
    </row>
    <row r="18" spans="1:10" x14ac:dyDescent="0.35">
      <c r="A18" s="11">
        <v>42857</v>
      </c>
      <c r="B18" s="12" t="s">
        <v>113</v>
      </c>
      <c r="C18" s="12" t="s">
        <v>114</v>
      </c>
      <c r="D18" s="12" t="s">
        <v>115</v>
      </c>
      <c r="E18" s="12">
        <v>400</v>
      </c>
      <c r="F18" s="20">
        <v>1</v>
      </c>
      <c r="G18" s="20">
        <v>4</v>
      </c>
      <c r="H18" s="12" t="s">
        <v>73</v>
      </c>
      <c r="I18" s="6">
        <f t="shared" si="0"/>
        <v>-1</v>
      </c>
      <c r="J18" s="6">
        <f t="shared" si="1"/>
        <v>132.97000000000003</v>
      </c>
    </row>
    <row r="19" spans="1:10" x14ac:dyDescent="0.35">
      <c r="A19" s="13">
        <v>42857</v>
      </c>
      <c r="B19" s="14" t="s">
        <v>113</v>
      </c>
      <c r="C19" s="14" t="s">
        <v>44</v>
      </c>
      <c r="D19" s="14" t="s">
        <v>116</v>
      </c>
      <c r="E19" s="14">
        <v>-110</v>
      </c>
      <c r="F19" s="19">
        <v>5</v>
      </c>
      <c r="G19" s="19">
        <v>4.55</v>
      </c>
      <c r="H19" s="14" t="s">
        <v>73</v>
      </c>
      <c r="I19" s="6">
        <f t="shared" si="0"/>
        <v>-5</v>
      </c>
      <c r="J19" s="6">
        <f t="shared" si="1"/>
        <v>127.97000000000003</v>
      </c>
    </row>
    <row r="20" spans="1:10" x14ac:dyDescent="0.35">
      <c r="A20" s="11">
        <v>42857</v>
      </c>
      <c r="B20" s="12" t="s">
        <v>113</v>
      </c>
      <c r="C20" s="12" t="s">
        <v>45</v>
      </c>
      <c r="D20" s="12" t="s">
        <v>46</v>
      </c>
      <c r="E20" s="12">
        <v>130</v>
      </c>
      <c r="F20" s="20">
        <v>4</v>
      </c>
      <c r="G20" s="20">
        <v>5.2</v>
      </c>
      <c r="H20" s="12" t="s">
        <v>73</v>
      </c>
      <c r="I20" s="6">
        <f t="shared" si="0"/>
        <v>-4</v>
      </c>
      <c r="J20" s="6">
        <f t="shared" si="1"/>
        <v>123.97000000000003</v>
      </c>
    </row>
    <row r="21" spans="1:10" x14ac:dyDescent="0.35">
      <c r="A21" s="13">
        <v>42857</v>
      </c>
      <c r="B21" s="14" t="s">
        <v>117</v>
      </c>
      <c r="C21" s="14" t="s">
        <v>117</v>
      </c>
      <c r="D21" s="14" t="s">
        <v>118</v>
      </c>
      <c r="E21" s="14"/>
      <c r="F21" s="19">
        <v>1</v>
      </c>
      <c r="G21" s="19">
        <v>20.78</v>
      </c>
      <c r="H21" s="14" t="s">
        <v>52</v>
      </c>
      <c r="I21" s="6">
        <f t="shared" si="0"/>
        <v>20.78</v>
      </c>
      <c r="J21" s="6">
        <f t="shared" si="1"/>
        <v>144.75000000000003</v>
      </c>
    </row>
    <row r="22" spans="1:10" x14ac:dyDescent="0.35">
      <c r="A22" s="5">
        <v>42778</v>
      </c>
      <c r="B22" t="s">
        <v>97</v>
      </c>
      <c r="C22" t="s">
        <v>44</v>
      </c>
      <c r="D22" t="s">
        <v>96</v>
      </c>
      <c r="E22">
        <v>-130</v>
      </c>
      <c r="F22" s="18">
        <v>4</v>
      </c>
      <c r="G22" s="18">
        <v>3.08</v>
      </c>
      <c r="H22" s="14" t="s">
        <v>52</v>
      </c>
      <c r="I22" s="6">
        <f t="shared" ref="I22:I32" si="2">SUMIF(H22,"Win",G22) - SUMIF(H22,"Lose",(F22))</f>
        <v>3.08</v>
      </c>
      <c r="J22" s="6">
        <f t="shared" ref="J22:J32" si="3">J21+I22</f>
        <v>147.83000000000004</v>
      </c>
    </row>
    <row r="23" spans="1:10" x14ac:dyDescent="0.35">
      <c r="A23" s="5">
        <v>42778</v>
      </c>
      <c r="B23" s="6" t="s">
        <v>97</v>
      </c>
      <c r="C23" t="s">
        <v>45</v>
      </c>
      <c r="D23" t="s">
        <v>95</v>
      </c>
      <c r="E23">
        <v>120</v>
      </c>
      <c r="F23" s="18">
        <v>5</v>
      </c>
      <c r="G23" s="18">
        <v>6</v>
      </c>
      <c r="H23" s="14" t="s">
        <v>73</v>
      </c>
      <c r="I23" s="6">
        <f t="shared" si="2"/>
        <v>-5</v>
      </c>
      <c r="J23" s="6">
        <f t="shared" si="3"/>
        <v>142.83000000000004</v>
      </c>
    </row>
    <row r="24" spans="1:10" x14ac:dyDescent="0.35">
      <c r="A24" s="5">
        <v>42778</v>
      </c>
      <c r="B24" s="6" t="s">
        <v>119</v>
      </c>
      <c r="C24" s="6" t="s">
        <v>44</v>
      </c>
      <c r="D24" s="6" t="s">
        <v>120</v>
      </c>
      <c r="E24" s="6">
        <v>117</v>
      </c>
      <c r="F24" s="18">
        <v>5</v>
      </c>
      <c r="G24" s="18">
        <v>5.85</v>
      </c>
      <c r="H24" s="14" t="s">
        <v>52</v>
      </c>
      <c r="I24" s="6">
        <f t="shared" si="2"/>
        <v>5.85</v>
      </c>
      <c r="J24" s="6">
        <f t="shared" si="3"/>
        <v>148.68000000000004</v>
      </c>
    </row>
    <row r="25" spans="1:10" x14ac:dyDescent="0.35">
      <c r="A25" s="5">
        <v>42778</v>
      </c>
      <c r="B25" s="6" t="s">
        <v>119</v>
      </c>
      <c r="C25" s="6" t="s">
        <v>45</v>
      </c>
      <c r="D25" s="6" t="s">
        <v>46</v>
      </c>
      <c r="E25" s="6">
        <v>120</v>
      </c>
      <c r="F25" s="18">
        <v>7</v>
      </c>
      <c r="G25" s="18">
        <v>8.4</v>
      </c>
      <c r="H25" s="14" t="s">
        <v>73</v>
      </c>
      <c r="I25" s="6">
        <f t="shared" si="2"/>
        <v>-7</v>
      </c>
      <c r="J25" s="6">
        <f t="shared" si="3"/>
        <v>141.68000000000004</v>
      </c>
    </row>
    <row r="26" spans="1:10" x14ac:dyDescent="0.35">
      <c r="A26" s="5">
        <v>42778</v>
      </c>
      <c r="B26" t="s">
        <v>137</v>
      </c>
      <c r="C26" t="s">
        <v>44</v>
      </c>
      <c r="D26" t="s">
        <v>132</v>
      </c>
      <c r="E26">
        <v>-165</v>
      </c>
      <c r="F26" s="18">
        <v>5</v>
      </c>
      <c r="G26" s="18">
        <v>3.03</v>
      </c>
      <c r="H26" s="14" t="s">
        <v>52</v>
      </c>
      <c r="I26" s="6">
        <f t="shared" si="2"/>
        <v>3.03</v>
      </c>
      <c r="J26" s="6">
        <f t="shared" si="3"/>
        <v>144.71000000000004</v>
      </c>
    </row>
    <row r="27" spans="1:10" x14ac:dyDescent="0.35">
      <c r="A27" s="5">
        <v>42778</v>
      </c>
      <c r="B27" t="s">
        <v>117</v>
      </c>
      <c r="C27" t="s">
        <v>117</v>
      </c>
      <c r="D27" t="s">
        <v>138</v>
      </c>
      <c r="F27" s="18">
        <v>3</v>
      </c>
      <c r="G27" s="18">
        <v>17.09</v>
      </c>
      <c r="H27" s="14" t="s">
        <v>52</v>
      </c>
      <c r="I27" s="6">
        <f t="shared" si="2"/>
        <v>17.09</v>
      </c>
      <c r="J27" s="6">
        <f t="shared" si="3"/>
        <v>161.80000000000004</v>
      </c>
    </row>
    <row r="28" spans="1:10" x14ac:dyDescent="0.35">
      <c r="A28" s="5">
        <v>42778</v>
      </c>
      <c r="B28" s="6" t="s">
        <v>97</v>
      </c>
      <c r="C28" t="s">
        <v>44</v>
      </c>
      <c r="D28" t="s">
        <v>96</v>
      </c>
      <c r="E28">
        <v>-123</v>
      </c>
      <c r="F28" s="18">
        <v>3</v>
      </c>
      <c r="G28" s="18">
        <v>2.44</v>
      </c>
      <c r="H28" s="14" t="s">
        <v>52</v>
      </c>
      <c r="I28" s="6">
        <f t="shared" si="2"/>
        <v>2.44</v>
      </c>
      <c r="J28" s="6">
        <f t="shared" si="3"/>
        <v>164.24000000000004</v>
      </c>
    </row>
    <row r="29" spans="1:10" x14ac:dyDescent="0.35">
      <c r="A29" s="5">
        <v>42778</v>
      </c>
      <c r="B29" t="s">
        <v>143</v>
      </c>
      <c r="C29" t="s">
        <v>44</v>
      </c>
      <c r="D29" t="s">
        <v>144</v>
      </c>
      <c r="E29">
        <v>-120</v>
      </c>
      <c r="F29" s="18">
        <v>5</v>
      </c>
      <c r="G29" s="18">
        <v>4.17</v>
      </c>
      <c r="H29" s="14" t="s">
        <v>73</v>
      </c>
      <c r="I29" s="6">
        <f t="shared" si="2"/>
        <v>-5</v>
      </c>
      <c r="J29" s="6">
        <f t="shared" si="3"/>
        <v>159.24000000000004</v>
      </c>
    </row>
    <row r="30" spans="1:10" x14ac:dyDescent="0.35">
      <c r="A30" s="5">
        <v>42778</v>
      </c>
      <c r="B30" s="6" t="s">
        <v>145</v>
      </c>
      <c r="C30" s="6" t="s">
        <v>44</v>
      </c>
      <c r="D30" s="6" t="s">
        <v>146</v>
      </c>
      <c r="E30" s="6">
        <v>240</v>
      </c>
      <c r="F30" s="18">
        <v>5</v>
      </c>
      <c r="G30" s="18">
        <v>12</v>
      </c>
      <c r="H30" s="14" t="s">
        <v>73</v>
      </c>
      <c r="I30" s="6">
        <f t="shared" si="2"/>
        <v>-5</v>
      </c>
      <c r="J30" s="6">
        <f t="shared" si="3"/>
        <v>154.24000000000004</v>
      </c>
    </row>
    <row r="31" spans="1:10" x14ac:dyDescent="0.35">
      <c r="A31" s="5">
        <v>42778</v>
      </c>
      <c r="B31" s="6" t="s">
        <v>145</v>
      </c>
      <c r="C31" s="6" t="s">
        <v>45</v>
      </c>
      <c r="D31" s="6" t="s">
        <v>77</v>
      </c>
      <c r="E31" s="6">
        <v>230</v>
      </c>
      <c r="F31" s="18">
        <v>5</v>
      </c>
      <c r="G31" s="18">
        <v>11.5</v>
      </c>
      <c r="H31" s="14" t="s">
        <v>73</v>
      </c>
      <c r="I31" s="6">
        <f t="shared" si="2"/>
        <v>-5</v>
      </c>
      <c r="J31" s="6">
        <f t="shared" si="3"/>
        <v>149.24000000000004</v>
      </c>
    </row>
    <row r="32" spans="1:10" x14ac:dyDescent="0.35">
      <c r="A32" s="5">
        <v>42778</v>
      </c>
      <c r="B32" s="6" t="s">
        <v>147</v>
      </c>
      <c r="C32" s="6" t="s">
        <v>44</v>
      </c>
      <c r="D32" s="6" t="s">
        <v>148</v>
      </c>
      <c r="E32" s="6">
        <v>170</v>
      </c>
      <c r="F32" s="18">
        <v>6</v>
      </c>
      <c r="G32" s="18">
        <v>10.199999999999999</v>
      </c>
      <c r="H32" s="14" t="s">
        <v>73</v>
      </c>
      <c r="I32" s="6">
        <f t="shared" si="2"/>
        <v>-6</v>
      </c>
      <c r="J32" s="6">
        <f t="shared" si="3"/>
        <v>143.24000000000004</v>
      </c>
    </row>
    <row r="33" spans="1:10" x14ac:dyDescent="0.35">
      <c r="A33" s="5">
        <v>42778</v>
      </c>
      <c r="B33" t="s">
        <v>97</v>
      </c>
      <c r="C33" t="s">
        <v>114</v>
      </c>
      <c r="D33" t="s">
        <v>156</v>
      </c>
      <c r="E33">
        <v>900</v>
      </c>
      <c r="F33" s="18">
        <v>1</v>
      </c>
      <c r="G33" s="18">
        <v>9</v>
      </c>
      <c r="H33" s="14" t="s">
        <v>73</v>
      </c>
      <c r="I33" s="6">
        <f>SUMIF(H33,"Win",G33) - SUMIF(H33,"Lose",(F33))</f>
        <v>-1</v>
      </c>
      <c r="J33" s="6">
        <f>J32+I33</f>
        <v>142.24000000000004</v>
      </c>
    </row>
    <row r="34" spans="1:10" x14ac:dyDescent="0.35">
      <c r="A34" s="5">
        <v>42778</v>
      </c>
      <c r="B34" t="s">
        <v>157</v>
      </c>
      <c r="C34" t="s">
        <v>114</v>
      </c>
      <c r="D34" t="s">
        <v>158</v>
      </c>
      <c r="E34">
        <v>225</v>
      </c>
      <c r="F34" s="18">
        <v>2.2200000000000002</v>
      </c>
      <c r="G34" s="18">
        <v>5</v>
      </c>
      <c r="H34" s="14" t="s">
        <v>73</v>
      </c>
      <c r="I34" s="6">
        <f>SUMIF(H34,"Win",G34) - SUMIF(H34,"Lose",(F34))</f>
        <v>-2.2200000000000002</v>
      </c>
      <c r="J34" s="6">
        <f>J33+I34</f>
        <v>140.02000000000004</v>
      </c>
    </row>
    <row r="35" spans="1:10" x14ac:dyDescent="0.35">
      <c r="A35" s="5">
        <v>42778</v>
      </c>
      <c r="B35" t="s">
        <v>145</v>
      </c>
      <c r="C35" t="s">
        <v>114</v>
      </c>
      <c r="D35" t="s">
        <v>159</v>
      </c>
      <c r="E35">
        <v>1183</v>
      </c>
      <c r="F35" s="18">
        <v>1</v>
      </c>
      <c r="G35" s="18">
        <v>11.83</v>
      </c>
      <c r="H35" s="14" t="s">
        <v>73</v>
      </c>
      <c r="I35" s="6">
        <f>SUMIF(H35,"Win",G35) - SUMIF(H35,"Lose",(F35))</f>
        <v>-1</v>
      </c>
      <c r="J35" s="6">
        <f>J34+I35</f>
        <v>139.02000000000004</v>
      </c>
    </row>
    <row r="36" spans="1:10" x14ac:dyDescent="0.35">
      <c r="A36" s="5">
        <v>42785</v>
      </c>
      <c r="B36" t="s">
        <v>173</v>
      </c>
      <c r="C36" t="s">
        <v>44</v>
      </c>
      <c r="D36" t="s">
        <v>165</v>
      </c>
      <c r="E36">
        <v>110</v>
      </c>
      <c r="F36" s="18">
        <v>5</v>
      </c>
      <c r="G36" s="18">
        <v>5.5</v>
      </c>
      <c r="H36" t="s">
        <v>73</v>
      </c>
      <c r="I36" s="6">
        <f t="shared" ref="I36:I41" si="4">SUMIF(H36,"Win",G36) - SUMIF(H36,"Lose",(F36))</f>
        <v>-5</v>
      </c>
      <c r="J36" s="6">
        <f t="shared" ref="J36:J41" si="5">J35+I36</f>
        <v>134.02000000000004</v>
      </c>
    </row>
    <row r="37" spans="1:10" x14ac:dyDescent="0.35">
      <c r="A37" s="5">
        <v>42785</v>
      </c>
      <c r="B37" t="s">
        <v>174</v>
      </c>
      <c r="C37" t="s">
        <v>44</v>
      </c>
      <c r="D37" t="s">
        <v>167</v>
      </c>
      <c r="E37">
        <v>-145</v>
      </c>
      <c r="F37" s="18">
        <v>6</v>
      </c>
      <c r="G37" s="18">
        <v>4.1399999999999997</v>
      </c>
      <c r="H37" s="6" t="s">
        <v>73</v>
      </c>
      <c r="I37" s="6">
        <f t="shared" si="4"/>
        <v>-6</v>
      </c>
      <c r="J37" s="6">
        <f t="shared" si="5"/>
        <v>128.02000000000004</v>
      </c>
    </row>
    <row r="38" spans="1:10" x14ac:dyDescent="0.35">
      <c r="A38" s="5">
        <v>42785</v>
      </c>
      <c r="B38" t="s">
        <v>175</v>
      </c>
      <c r="C38" t="s">
        <v>45</v>
      </c>
      <c r="D38" t="s">
        <v>46</v>
      </c>
      <c r="E38">
        <v>170</v>
      </c>
      <c r="F38" s="18">
        <v>7</v>
      </c>
      <c r="G38" s="18">
        <v>11.9</v>
      </c>
      <c r="H38" s="6" t="s">
        <v>73</v>
      </c>
      <c r="I38" s="6">
        <f t="shared" si="4"/>
        <v>-7</v>
      </c>
      <c r="J38" s="6">
        <f t="shared" si="5"/>
        <v>121.02000000000004</v>
      </c>
    </row>
    <row r="39" spans="1:10" x14ac:dyDescent="0.35">
      <c r="A39" s="5">
        <v>42785</v>
      </c>
      <c r="B39" s="6" t="s">
        <v>175</v>
      </c>
      <c r="C39" t="s">
        <v>44</v>
      </c>
      <c r="D39" t="s">
        <v>169</v>
      </c>
      <c r="E39">
        <v>-160</v>
      </c>
      <c r="F39" s="18">
        <v>5</v>
      </c>
      <c r="G39" s="18">
        <v>3.13</v>
      </c>
      <c r="H39" s="6" t="s">
        <v>52</v>
      </c>
      <c r="I39" s="6">
        <f t="shared" si="4"/>
        <v>3.13</v>
      </c>
      <c r="J39" s="6">
        <f t="shared" si="5"/>
        <v>124.15000000000003</v>
      </c>
    </row>
    <row r="40" spans="1:10" x14ac:dyDescent="0.35">
      <c r="A40" s="5">
        <v>42785</v>
      </c>
      <c r="B40" t="s">
        <v>176</v>
      </c>
      <c r="C40" t="s">
        <v>44</v>
      </c>
      <c r="D40" t="s">
        <v>172</v>
      </c>
      <c r="E40">
        <v>150</v>
      </c>
      <c r="F40" s="18">
        <v>4.5</v>
      </c>
      <c r="G40" s="18">
        <v>6.75</v>
      </c>
      <c r="H40" s="6" t="s">
        <v>73</v>
      </c>
      <c r="I40" s="6">
        <f t="shared" si="4"/>
        <v>-4.5</v>
      </c>
      <c r="J40" s="6">
        <f t="shared" si="5"/>
        <v>119.65000000000003</v>
      </c>
    </row>
    <row r="41" spans="1:10" x14ac:dyDescent="0.35">
      <c r="A41" s="5">
        <v>42785</v>
      </c>
      <c r="B41" s="6" t="s">
        <v>176</v>
      </c>
      <c r="C41" t="s">
        <v>45</v>
      </c>
      <c r="D41" t="s">
        <v>46</v>
      </c>
      <c r="E41">
        <v>-130</v>
      </c>
      <c r="F41" s="18">
        <v>7</v>
      </c>
      <c r="G41" s="18">
        <v>5.38</v>
      </c>
      <c r="H41" s="6" t="s">
        <v>52</v>
      </c>
      <c r="I41" s="6">
        <f t="shared" si="4"/>
        <v>5.38</v>
      </c>
      <c r="J41" s="6">
        <f t="shared" si="5"/>
        <v>125.03000000000003</v>
      </c>
    </row>
    <row r="42" spans="1:10" x14ac:dyDescent="0.35">
      <c r="A42" s="5">
        <v>42785</v>
      </c>
      <c r="B42" t="s">
        <v>117</v>
      </c>
      <c r="C42" t="s">
        <v>117</v>
      </c>
      <c r="D42" t="s">
        <v>177</v>
      </c>
      <c r="F42" s="18">
        <v>2</v>
      </c>
      <c r="G42" s="18">
        <v>24.96</v>
      </c>
      <c r="H42" s="6" t="s">
        <v>73</v>
      </c>
      <c r="I42" s="6">
        <f t="shared" ref="I42" si="6">SUMIF(H42,"Win",G42) - SUMIF(H42,"Lose",(F42))</f>
        <v>-2</v>
      </c>
      <c r="J42" s="6">
        <f t="shared" ref="J42" si="7">J41+I42</f>
        <v>123.03000000000003</v>
      </c>
    </row>
    <row r="43" spans="1:10" x14ac:dyDescent="0.35">
      <c r="A43" s="5">
        <v>42785</v>
      </c>
      <c r="B43" t="s">
        <v>174</v>
      </c>
      <c r="C43" t="s">
        <v>114</v>
      </c>
      <c r="D43" t="s">
        <v>205</v>
      </c>
      <c r="E43">
        <v>905</v>
      </c>
      <c r="F43" s="18">
        <v>1</v>
      </c>
      <c r="G43" s="18">
        <v>9.0500000000000007</v>
      </c>
      <c r="H43" t="s">
        <v>73</v>
      </c>
      <c r="I43" s="6">
        <f t="shared" ref="I43:I45" si="8">SUMIF(H43,"Win",G43) - SUMIF(H43,"Lose",(F43))</f>
        <v>-1</v>
      </c>
      <c r="J43" s="6">
        <f t="shared" ref="J43:J45" si="9">J42+I43</f>
        <v>122.03000000000003</v>
      </c>
    </row>
    <row r="44" spans="1:10" x14ac:dyDescent="0.35">
      <c r="A44" s="5">
        <v>42785</v>
      </c>
      <c r="B44" t="s">
        <v>173</v>
      </c>
      <c r="C44" t="s">
        <v>114</v>
      </c>
      <c r="D44" t="s">
        <v>206</v>
      </c>
      <c r="E44">
        <v>2200</v>
      </c>
      <c r="F44" s="18">
        <v>1</v>
      </c>
      <c r="G44" s="18">
        <v>22</v>
      </c>
      <c r="H44" t="s">
        <v>73</v>
      </c>
      <c r="I44" s="6">
        <f t="shared" si="8"/>
        <v>-1</v>
      </c>
      <c r="J44" s="6">
        <f t="shared" si="9"/>
        <v>121.03000000000003</v>
      </c>
    </row>
    <row r="45" spans="1:10" x14ac:dyDescent="0.35">
      <c r="A45" s="5">
        <v>42785</v>
      </c>
      <c r="B45" s="6" t="s">
        <v>173</v>
      </c>
      <c r="C45" s="6" t="s">
        <v>114</v>
      </c>
      <c r="D45" s="6" t="s">
        <v>207</v>
      </c>
      <c r="E45">
        <v>3300</v>
      </c>
      <c r="F45" s="18">
        <v>1</v>
      </c>
      <c r="G45" s="18">
        <v>33</v>
      </c>
      <c r="H45" t="s">
        <v>73</v>
      </c>
      <c r="I45" s="6">
        <f t="shared" si="8"/>
        <v>-1</v>
      </c>
      <c r="J45" s="6">
        <f t="shared" si="9"/>
        <v>120.03000000000003</v>
      </c>
    </row>
    <row r="46" spans="1:10" x14ac:dyDescent="0.35">
      <c r="A46" s="5">
        <v>42785</v>
      </c>
      <c r="B46" t="s">
        <v>208</v>
      </c>
      <c r="C46" t="s">
        <v>44</v>
      </c>
      <c r="D46" t="s">
        <v>209</v>
      </c>
      <c r="E46">
        <v>190</v>
      </c>
      <c r="F46" s="18">
        <v>4</v>
      </c>
      <c r="G46" s="18">
        <v>7.6</v>
      </c>
      <c r="H46" t="s">
        <v>73</v>
      </c>
      <c r="I46" s="6">
        <f t="shared" ref="I46" si="10">SUMIF(H46,"Win",G46) - SUMIF(H46,"Lose",(F46))</f>
        <v>-4</v>
      </c>
      <c r="J46" s="6">
        <f t="shared" ref="J46" si="11">J45+I46</f>
        <v>116.03000000000003</v>
      </c>
    </row>
    <row r="47" spans="1:10" x14ac:dyDescent="0.35">
      <c r="A47" s="5">
        <v>42799</v>
      </c>
      <c r="B47" t="s">
        <v>210</v>
      </c>
      <c r="C47" t="s">
        <v>45</v>
      </c>
      <c r="D47" t="s">
        <v>77</v>
      </c>
      <c r="E47">
        <v>150</v>
      </c>
      <c r="F47" s="18">
        <v>3.33</v>
      </c>
      <c r="G47" s="18">
        <v>5</v>
      </c>
      <c r="H47" t="s">
        <v>73</v>
      </c>
      <c r="I47" s="6">
        <f t="shared" ref="I47:I60" si="12">SUMIF(H47,"Win",G47) - SUMIF(H47,"Lose",(F47))</f>
        <v>-3.33</v>
      </c>
      <c r="J47" s="6">
        <f t="shared" ref="J47:J60" si="13">J46+I47</f>
        <v>112.70000000000003</v>
      </c>
    </row>
    <row r="48" spans="1:10" x14ac:dyDescent="0.35">
      <c r="A48" s="5">
        <v>42799</v>
      </c>
      <c r="B48" t="s">
        <v>211</v>
      </c>
      <c r="C48" t="s">
        <v>45</v>
      </c>
      <c r="D48" t="s">
        <v>46</v>
      </c>
      <c r="E48">
        <v>-145</v>
      </c>
      <c r="F48" s="18">
        <v>5.8</v>
      </c>
      <c r="G48" s="18">
        <v>4</v>
      </c>
      <c r="H48" s="6" t="s">
        <v>73</v>
      </c>
      <c r="I48" s="6">
        <f t="shared" si="12"/>
        <v>-5.8</v>
      </c>
      <c r="J48" s="6">
        <f t="shared" si="13"/>
        <v>106.90000000000003</v>
      </c>
    </row>
    <row r="49" spans="1:10" x14ac:dyDescent="0.35">
      <c r="A49" s="5">
        <v>42799</v>
      </c>
      <c r="B49" t="s">
        <v>212</v>
      </c>
      <c r="C49" t="s">
        <v>44</v>
      </c>
      <c r="D49" t="s">
        <v>192</v>
      </c>
      <c r="E49">
        <v>120</v>
      </c>
      <c r="F49" s="18">
        <v>6</v>
      </c>
      <c r="G49" s="18">
        <v>7.2</v>
      </c>
      <c r="H49" s="6" t="s">
        <v>73</v>
      </c>
      <c r="I49" s="6">
        <f t="shared" si="12"/>
        <v>-6</v>
      </c>
      <c r="J49" s="6">
        <f t="shared" si="13"/>
        <v>100.90000000000003</v>
      </c>
    </row>
    <row r="50" spans="1:10" x14ac:dyDescent="0.35">
      <c r="A50" s="5">
        <v>42799</v>
      </c>
      <c r="B50" t="s">
        <v>213</v>
      </c>
      <c r="C50" t="s">
        <v>45</v>
      </c>
      <c r="D50" t="s">
        <v>46</v>
      </c>
      <c r="E50">
        <v>170</v>
      </c>
      <c r="F50" s="18">
        <v>6</v>
      </c>
      <c r="G50" s="18">
        <v>10.199999999999999</v>
      </c>
      <c r="H50" s="6" t="s">
        <v>73</v>
      </c>
      <c r="I50" s="6">
        <f t="shared" si="12"/>
        <v>-6</v>
      </c>
      <c r="J50" s="6">
        <f t="shared" si="13"/>
        <v>94.900000000000034</v>
      </c>
    </row>
    <row r="51" spans="1:10" x14ac:dyDescent="0.35">
      <c r="A51" s="15">
        <v>42799</v>
      </c>
      <c r="B51" t="s">
        <v>212</v>
      </c>
      <c r="C51" t="s">
        <v>45</v>
      </c>
      <c r="D51" t="s">
        <v>77</v>
      </c>
      <c r="E51">
        <v>-140</v>
      </c>
      <c r="F51" s="18">
        <v>5</v>
      </c>
      <c r="G51" s="18">
        <v>3.57</v>
      </c>
      <c r="H51" s="6" t="s">
        <v>73</v>
      </c>
      <c r="I51" s="6">
        <f t="shared" si="12"/>
        <v>-5</v>
      </c>
      <c r="J51" s="6">
        <f t="shared" si="13"/>
        <v>89.900000000000034</v>
      </c>
    </row>
    <row r="52" spans="1:10" x14ac:dyDescent="0.35">
      <c r="A52" s="15">
        <v>42858</v>
      </c>
      <c r="B52" s="6" t="s">
        <v>214</v>
      </c>
      <c r="C52" s="6" t="s">
        <v>45</v>
      </c>
      <c r="D52" s="6" t="s">
        <v>215</v>
      </c>
      <c r="E52" s="6">
        <v>161</v>
      </c>
      <c r="F52" s="18">
        <v>5</v>
      </c>
      <c r="G52" s="18">
        <v>8.0500000000000007</v>
      </c>
      <c r="H52" s="6" t="s">
        <v>73</v>
      </c>
      <c r="I52" s="6">
        <f t="shared" si="12"/>
        <v>-5</v>
      </c>
      <c r="J52" s="6">
        <f t="shared" si="13"/>
        <v>84.900000000000034</v>
      </c>
    </row>
    <row r="53" spans="1:10" x14ac:dyDescent="0.35">
      <c r="A53" s="15">
        <v>42858</v>
      </c>
      <c r="B53" s="6" t="s">
        <v>117</v>
      </c>
      <c r="C53" s="6" t="s">
        <v>117</v>
      </c>
      <c r="D53" s="6" t="s">
        <v>216</v>
      </c>
      <c r="E53" s="6">
        <v>1125</v>
      </c>
      <c r="F53" s="18">
        <v>2</v>
      </c>
      <c r="G53" s="18">
        <v>22.49</v>
      </c>
      <c r="H53" s="6" t="s">
        <v>73</v>
      </c>
      <c r="I53" s="6">
        <f t="shared" si="12"/>
        <v>-2</v>
      </c>
      <c r="J53" s="6">
        <f t="shared" si="13"/>
        <v>82.900000000000034</v>
      </c>
    </row>
    <row r="54" spans="1:10" x14ac:dyDescent="0.35">
      <c r="A54" s="15">
        <v>42858</v>
      </c>
      <c r="B54" s="6" t="s">
        <v>210</v>
      </c>
      <c r="C54" s="6" t="s">
        <v>114</v>
      </c>
      <c r="D54" t="s">
        <v>229</v>
      </c>
      <c r="E54">
        <v>1075</v>
      </c>
      <c r="F54" s="18">
        <v>1</v>
      </c>
      <c r="G54" s="18">
        <v>10.75</v>
      </c>
      <c r="H54" s="6" t="s">
        <v>73</v>
      </c>
      <c r="I54" s="6">
        <f t="shared" si="12"/>
        <v>-1</v>
      </c>
      <c r="J54" s="6">
        <f t="shared" si="13"/>
        <v>81.900000000000034</v>
      </c>
    </row>
    <row r="55" spans="1:10" x14ac:dyDescent="0.35">
      <c r="A55" s="15">
        <v>42858</v>
      </c>
      <c r="B55" s="6" t="s">
        <v>210</v>
      </c>
      <c r="C55" s="6" t="s">
        <v>114</v>
      </c>
      <c r="D55" t="s">
        <v>230</v>
      </c>
      <c r="E55">
        <v>205</v>
      </c>
      <c r="F55" s="18">
        <v>1</v>
      </c>
      <c r="G55" s="18">
        <v>2.0499999999999998</v>
      </c>
      <c r="H55" s="6" t="s">
        <v>73</v>
      </c>
      <c r="I55" s="6">
        <f t="shared" si="12"/>
        <v>-1</v>
      </c>
      <c r="J55" s="6">
        <f t="shared" si="13"/>
        <v>80.900000000000034</v>
      </c>
    </row>
    <row r="56" spans="1:10" x14ac:dyDescent="0.35">
      <c r="A56" s="15">
        <v>42858</v>
      </c>
      <c r="B56" s="6" t="s">
        <v>211</v>
      </c>
      <c r="C56" s="6" t="s">
        <v>114</v>
      </c>
      <c r="D56" t="s">
        <v>231</v>
      </c>
      <c r="E56">
        <v>700</v>
      </c>
      <c r="F56" s="18">
        <v>1</v>
      </c>
      <c r="G56" s="18">
        <v>7</v>
      </c>
      <c r="H56" s="6" t="s">
        <v>73</v>
      </c>
      <c r="I56" s="6">
        <f t="shared" si="12"/>
        <v>-1</v>
      </c>
      <c r="J56" s="6">
        <f t="shared" si="13"/>
        <v>79.900000000000034</v>
      </c>
    </row>
    <row r="57" spans="1:10" x14ac:dyDescent="0.35">
      <c r="A57" s="15">
        <v>42858</v>
      </c>
      <c r="B57" s="6" t="s">
        <v>213</v>
      </c>
      <c r="C57" s="6" t="s">
        <v>114</v>
      </c>
      <c r="D57" t="s">
        <v>232</v>
      </c>
      <c r="E57">
        <v>400</v>
      </c>
      <c r="F57" s="18">
        <v>1</v>
      </c>
      <c r="G57" s="18">
        <v>4</v>
      </c>
      <c r="H57" s="6" t="s">
        <v>73</v>
      </c>
      <c r="I57" s="6">
        <f t="shared" si="12"/>
        <v>-1</v>
      </c>
      <c r="J57" s="6">
        <f t="shared" si="13"/>
        <v>78.900000000000034</v>
      </c>
    </row>
    <row r="58" spans="1:10" x14ac:dyDescent="0.35">
      <c r="A58" s="15">
        <v>42858</v>
      </c>
      <c r="B58" t="s">
        <v>212</v>
      </c>
      <c r="C58" s="6" t="s">
        <v>114</v>
      </c>
      <c r="D58" t="s">
        <v>233</v>
      </c>
      <c r="E58">
        <v>1600</v>
      </c>
      <c r="F58" s="18">
        <v>1</v>
      </c>
      <c r="G58" s="18">
        <v>16</v>
      </c>
      <c r="H58" s="6" t="s">
        <v>73</v>
      </c>
      <c r="I58" s="6">
        <f t="shared" si="12"/>
        <v>-1</v>
      </c>
      <c r="J58" s="6">
        <f t="shared" si="13"/>
        <v>77.900000000000034</v>
      </c>
    </row>
    <row r="59" spans="1:10" x14ac:dyDescent="0.35">
      <c r="A59" s="15">
        <v>42858</v>
      </c>
      <c r="B59" t="s">
        <v>214</v>
      </c>
      <c r="C59" s="6" t="s">
        <v>114</v>
      </c>
      <c r="D59" t="s">
        <v>234</v>
      </c>
      <c r="E59">
        <v>450</v>
      </c>
      <c r="F59" s="18">
        <v>1</v>
      </c>
      <c r="G59" s="18">
        <v>4.5</v>
      </c>
      <c r="H59" s="6" t="s">
        <v>73</v>
      </c>
      <c r="I59" s="6">
        <f t="shared" si="12"/>
        <v>-1</v>
      </c>
      <c r="J59" s="6">
        <f t="shared" si="13"/>
        <v>76.900000000000034</v>
      </c>
    </row>
    <row r="60" spans="1:10" x14ac:dyDescent="0.35">
      <c r="A60" s="15">
        <v>42858</v>
      </c>
      <c r="B60" s="6" t="s">
        <v>214</v>
      </c>
      <c r="C60" s="6" t="s">
        <v>114</v>
      </c>
      <c r="D60" t="s">
        <v>235</v>
      </c>
      <c r="E60">
        <v>800</v>
      </c>
      <c r="F60" s="18">
        <v>1</v>
      </c>
      <c r="G60" s="18">
        <v>8</v>
      </c>
      <c r="H60" s="6" t="s">
        <v>73</v>
      </c>
      <c r="I60" s="6">
        <f t="shared" si="12"/>
        <v>-1</v>
      </c>
      <c r="J60" s="6">
        <f t="shared" si="13"/>
        <v>75.900000000000034</v>
      </c>
    </row>
    <row r="61" spans="1:10" x14ac:dyDescent="0.35">
      <c r="A61" s="15"/>
      <c r="F61" s="18"/>
      <c r="G61" s="18"/>
      <c r="I61" s="6">
        <f t="shared" ref="I61" si="14">SUMIF(H61,"Win",G61) - SUMIF(H61,"Lose",(F61))</f>
        <v>0</v>
      </c>
      <c r="J61" s="6">
        <f t="shared" ref="J61" si="15">J60+I61</f>
        <v>75.900000000000034</v>
      </c>
    </row>
    <row r="62" spans="1:10" x14ac:dyDescent="0.35">
      <c r="A62" s="15"/>
      <c r="F62" s="18"/>
      <c r="G62" s="18"/>
    </row>
    <row r="63" spans="1:10" x14ac:dyDescent="0.35">
      <c r="A63" s="15"/>
      <c r="F63" s="18"/>
      <c r="G63" s="18"/>
    </row>
    <row r="64" spans="1:10" x14ac:dyDescent="0.35">
      <c r="A64" s="15"/>
      <c r="F64" s="18"/>
      <c r="G64" s="18"/>
    </row>
    <row r="65" spans="1:10" x14ac:dyDescent="0.35">
      <c r="A65" s="15"/>
      <c r="F65" s="18"/>
      <c r="G65" s="18"/>
    </row>
    <row r="66" spans="1:10" x14ac:dyDescent="0.35">
      <c r="A66" s="5">
        <v>42987</v>
      </c>
      <c r="B66" s="6" t="s">
        <v>254</v>
      </c>
      <c r="C66" s="6" t="s">
        <v>114</v>
      </c>
      <c r="D66" s="6" t="s">
        <v>25</v>
      </c>
      <c r="E66" s="6">
        <v>-105</v>
      </c>
      <c r="F66" s="18">
        <v>3</v>
      </c>
      <c r="G66" s="18">
        <v>2.86</v>
      </c>
      <c r="H66" s="6" t="s">
        <v>52</v>
      </c>
      <c r="I66" s="6">
        <f t="shared" ref="I66:I75" si="16">SUMIF(H66,"Win",G66) - SUMIF(H66,"Lose",(F66))</f>
        <v>2.86</v>
      </c>
      <c r="J66" s="6">
        <f>J59+I66</f>
        <v>79.760000000000034</v>
      </c>
    </row>
    <row r="67" spans="1:10" x14ac:dyDescent="0.35">
      <c r="A67" s="5">
        <v>42987</v>
      </c>
      <c r="B67" t="s">
        <v>254</v>
      </c>
      <c r="C67" t="s">
        <v>114</v>
      </c>
      <c r="D67" t="s">
        <v>25</v>
      </c>
      <c r="E67">
        <v>-114</v>
      </c>
      <c r="F67" s="18">
        <v>3</v>
      </c>
      <c r="G67" s="18">
        <v>2.63</v>
      </c>
      <c r="H67" t="s">
        <v>52</v>
      </c>
      <c r="I67" s="6">
        <f t="shared" si="16"/>
        <v>2.63</v>
      </c>
      <c r="J67" s="6">
        <f>J66+I67</f>
        <v>82.390000000000029</v>
      </c>
    </row>
    <row r="68" spans="1:10" x14ac:dyDescent="0.35">
      <c r="A68" s="5">
        <v>43043</v>
      </c>
      <c r="B68" t="s">
        <v>252</v>
      </c>
      <c r="C68" t="s">
        <v>114</v>
      </c>
      <c r="D68" t="s">
        <v>253</v>
      </c>
      <c r="E68">
        <v>-120</v>
      </c>
      <c r="F68" s="18">
        <v>4</v>
      </c>
      <c r="G68" s="18">
        <v>3.33</v>
      </c>
      <c r="H68" t="s">
        <v>52</v>
      </c>
      <c r="I68" s="6">
        <f t="shared" si="16"/>
        <v>3.33</v>
      </c>
      <c r="J68" s="6">
        <f>J61+I68</f>
        <v>79.230000000000032</v>
      </c>
    </row>
    <row r="69" spans="1:10" x14ac:dyDescent="0.35">
      <c r="A69" s="5">
        <v>43043</v>
      </c>
      <c r="B69" s="6" t="s">
        <v>250</v>
      </c>
      <c r="C69" t="s">
        <v>45</v>
      </c>
      <c r="D69" t="s">
        <v>251</v>
      </c>
      <c r="E69">
        <v>155</v>
      </c>
      <c r="F69" s="18">
        <v>2</v>
      </c>
      <c r="G69" s="18">
        <v>3.1</v>
      </c>
      <c r="H69" t="s">
        <v>52</v>
      </c>
      <c r="I69" s="6">
        <f t="shared" si="16"/>
        <v>3.1</v>
      </c>
      <c r="J69" s="6">
        <f t="shared" ref="J69:J75" si="17">J68+I69</f>
        <v>82.330000000000027</v>
      </c>
    </row>
    <row r="70" spans="1:10" x14ac:dyDescent="0.35">
      <c r="A70" s="5">
        <v>43043</v>
      </c>
      <c r="B70" t="s">
        <v>250</v>
      </c>
      <c r="C70" t="s">
        <v>114</v>
      </c>
      <c r="D70" t="s">
        <v>35</v>
      </c>
      <c r="E70">
        <v>187</v>
      </c>
      <c r="F70" s="18">
        <v>3</v>
      </c>
      <c r="G70" s="18">
        <v>5.61</v>
      </c>
      <c r="H70" t="s">
        <v>52</v>
      </c>
      <c r="I70" s="6">
        <f t="shared" si="16"/>
        <v>5.61</v>
      </c>
      <c r="J70" s="6">
        <f t="shared" si="17"/>
        <v>87.940000000000026</v>
      </c>
    </row>
    <row r="71" spans="1:10" x14ac:dyDescent="0.35">
      <c r="A71" s="5">
        <v>43043</v>
      </c>
      <c r="B71" s="6" t="s">
        <v>249</v>
      </c>
      <c r="C71" s="6" t="s">
        <v>114</v>
      </c>
      <c r="D71" s="6" t="s">
        <v>65</v>
      </c>
      <c r="E71" s="6">
        <v>124</v>
      </c>
      <c r="F71" s="18">
        <v>3</v>
      </c>
      <c r="G71" s="18">
        <v>3.9</v>
      </c>
      <c r="H71" s="6" t="s">
        <v>73</v>
      </c>
      <c r="I71" s="6">
        <f t="shared" si="16"/>
        <v>-3</v>
      </c>
      <c r="J71" s="6">
        <f t="shared" si="17"/>
        <v>84.940000000000026</v>
      </c>
    </row>
    <row r="72" spans="1:10" x14ac:dyDescent="0.35">
      <c r="A72" s="5">
        <v>43043</v>
      </c>
      <c r="B72" t="s">
        <v>249</v>
      </c>
      <c r="C72" t="s">
        <v>114</v>
      </c>
      <c r="D72" t="s">
        <v>65</v>
      </c>
      <c r="E72">
        <v>130</v>
      </c>
      <c r="F72" s="18">
        <v>3</v>
      </c>
      <c r="G72" s="18">
        <v>3.9</v>
      </c>
      <c r="H72" t="s">
        <v>73</v>
      </c>
      <c r="I72" s="6">
        <f t="shared" si="16"/>
        <v>-3</v>
      </c>
      <c r="J72" s="6">
        <f t="shared" si="17"/>
        <v>81.940000000000026</v>
      </c>
    </row>
    <row r="73" spans="1:10" x14ac:dyDescent="0.35">
      <c r="A73" s="5">
        <v>43057</v>
      </c>
      <c r="B73" t="s">
        <v>248</v>
      </c>
      <c r="C73" t="s">
        <v>45</v>
      </c>
      <c r="D73" t="s">
        <v>77</v>
      </c>
      <c r="E73">
        <v>-115</v>
      </c>
      <c r="F73" s="18">
        <v>3</v>
      </c>
      <c r="G73" s="18">
        <v>2.61</v>
      </c>
      <c r="H73" t="s">
        <v>73</v>
      </c>
      <c r="I73" s="6">
        <f t="shared" si="16"/>
        <v>-3</v>
      </c>
      <c r="J73" s="6">
        <f t="shared" si="17"/>
        <v>78.940000000000026</v>
      </c>
    </row>
    <row r="74" spans="1:10" x14ac:dyDescent="0.35">
      <c r="A74" s="5">
        <v>43071</v>
      </c>
      <c r="B74" t="s">
        <v>244</v>
      </c>
      <c r="C74" t="s">
        <v>114</v>
      </c>
      <c r="D74" t="s">
        <v>245</v>
      </c>
      <c r="E74">
        <v>235</v>
      </c>
      <c r="F74" s="18">
        <v>3</v>
      </c>
      <c r="G74" s="18">
        <v>7.05</v>
      </c>
      <c r="H74" t="s">
        <v>73</v>
      </c>
      <c r="I74" s="6">
        <f t="shared" si="16"/>
        <v>-3</v>
      </c>
      <c r="J74" s="6">
        <f t="shared" si="17"/>
        <v>75.940000000000026</v>
      </c>
    </row>
    <row r="75" spans="1:10" x14ac:dyDescent="0.35">
      <c r="A75" s="5">
        <v>43071</v>
      </c>
      <c r="B75" t="s">
        <v>246</v>
      </c>
      <c r="C75" t="s">
        <v>114</v>
      </c>
      <c r="D75" t="s">
        <v>247</v>
      </c>
      <c r="E75">
        <v>-190</v>
      </c>
      <c r="F75" s="18">
        <v>3</v>
      </c>
      <c r="G75" s="18">
        <v>1.58</v>
      </c>
      <c r="H75" t="s">
        <v>52</v>
      </c>
      <c r="I75" s="6">
        <f t="shared" si="16"/>
        <v>1.58</v>
      </c>
      <c r="J75" s="6">
        <f t="shared" si="17"/>
        <v>77.520000000000024</v>
      </c>
    </row>
    <row r="76" spans="1:10" x14ac:dyDescent="0.35">
      <c r="A76" s="15"/>
      <c r="F76" s="18"/>
      <c r="G76" s="18"/>
    </row>
    <row r="77" spans="1:10" x14ac:dyDescent="0.35">
      <c r="A77" s="15"/>
      <c r="F77" s="18"/>
      <c r="G77" s="18"/>
    </row>
    <row r="78" spans="1:10" x14ac:dyDescent="0.35">
      <c r="A78" s="15"/>
      <c r="F78" s="18"/>
      <c r="G78" s="18"/>
    </row>
    <row r="79" spans="1:10" x14ac:dyDescent="0.35">
      <c r="A79" s="15"/>
      <c r="F79" s="18"/>
      <c r="G79" s="18"/>
    </row>
    <row r="80" spans="1:10" x14ac:dyDescent="0.35">
      <c r="A80" s="15"/>
      <c r="F80" s="18"/>
      <c r="G80" s="18"/>
    </row>
    <row r="81" spans="1:7" x14ac:dyDescent="0.35">
      <c r="A81" s="15"/>
      <c r="F81" s="18"/>
      <c r="G81" s="18"/>
    </row>
    <row r="82" spans="1:7" x14ac:dyDescent="0.35">
      <c r="A82" s="15"/>
      <c r="F82" s="18"/>
      <c r="G82" s="18"/>
    </row>
    <row r="83" spans="1:7" x14ac:dyDescent="0.35">
      <c r="A83" s="15"/>
      <c r="F83" s="18"/>
      <c r="G83" s="18"/>
    </row>
    <row r="84" spans="1:7" x14ac:dyDescent="0.35">
      <c r="A84" s="15"/>
      <c r="F84" s="18"/>
      <c r="G84" s="18"/>
    </row>
    <row r="85" spans="1:7" x14ac:dyDescent="0.35">
      <c r="A85" s="15"/>
      <c r="F85" s="18"/>
      <c r="G85" s="18"/>
    </row>
    <row r="86" spans="1:7" x14ac:dyDescent="0.35">
      <c r="A86" s="15"/>
      <c r="F86" s="18"/>
      <c r="G86" s="18"/>
    </row>
    <row r="87" spans="1:7" x14ac:dyDescent="0.35">
      <c r="A87" s="15"/>
      <c r="F87" s="18"/>
      <c r="G87" s="18"/>
    </row>
    <row r="88" spans="1:7" x14ac:dyDescent="0.35">
      <c r="A88" s="15"/>
      <c r="F88" s="18"/>
      <c r="G88" s="18"/>
    </row>
    <row r="89" spans="1:7" x14ac:dyDescent="0.35">
      <c r="A89" s="15"/>
      <c r="F89" s="18"/>
      <c r="G89" s="18"/>
    </row>
    <row r="90" spans="1:7" x14ac:dyDescent="0.35">
      <c r="A90" s="15"/>
      <c r="F90" s="18"/>
      <c r="G90" s="18"/>
    </row>
  </sheetData>
  <pageMargins left="0.7" right="0.7" top="0.75" bottom="0.75" header="0.3" footer="0.3"/>
  <pageSetup paperSize="9" orientation="portrait" horizontalDpi="4294967293" verticalDpi="429496729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9"/>
  <sheetViews>
    <sheetView workbookViewId="0">
      <selection activeCell="B4" sqref="B4"/>
    </sheetView>
  </sheetViews>
  <sheetFormatPr defaultRowHeight="14.5" x14ac:dyDescent="0.35"/>
  <cols>
    <col min="1" max="1" width="12.36328125" bestFit="1" customWidth="1"/>
    <col min="2" max="2" width="12.54296875" bestFit="1" customWidth="1"/>
    <col min="3" max="3" width="11.453125" bestFit="1" customWidth="1"/>
    <col min="4" max="4" width="13.08984375" bestFit="1" customWidth="1"/>
    <col min="5" max="5" width="13.81640625" bestFit="1" customWidth="1"/>
  </cols>
  <sheetData>
    <row r="3" spans="1:4" x14ac:dyDescent="0.35">
      <c r="A3" s="8" t="s">
        <v>86</v>
      </c>
      <c r="B3" s="6" t="s">
        <v>93</v>
      </c>
      <c r="C3" s="6" t="s">
        <v>88</v>
      </c>
      <c r="D3" s="6" t="s">
        <v>90</v>
      </c>
    </row>
    <row r="4" spans="1:4" x14ac:dyDescent="0.35">
      <c r="A4" s="9" t="s">
        <v>45</v>
      </c>
      <c r="B4" s="7">
        <v>17</v>
      </c>
      <c r="C4" s="7">
        <v>866</v>
      </c>
      <c r="D4" s="10">
        <v>-11.45</v>
      </c>
    </row>
    <row r="5" spans="1:4" x14ac:dyDescent="0.35">
      <c r="A5" s="9" t="s">
        <v>44</v>
      </c>
      <c r="B5" s="7">
        <v>25</v>
      </c>
      <c r="C5" s="7">
        <v>-17</v>
      </c>
      <c r="D5" s="10">
        <v>17.829999999999995</v>
      </c>
    </row>
    <row r="6" spans="1:4" x14ac:dyDescent="0.35">
      <c r="A6" s="9" t="s">
        <v>92</v>
      </c>
      <c r="B6" s="7"/>
      <c r="C6" s="7"/>
      <c r="D6" s="7"/>
    </row>
    <row r="7" spans="1:4" x14ac:dyDescent="0.35">
      <c r="A7" s="9" t="s">
        <v>114</v>
      </c>
      <c r="B7" s="7">
        <v>7</v>
      </c>
      <c r="C7" s="7">
        <v>9113</v>
      </c>
      <c r="D7" s="7">
        <v>-8.2200000000000006</v>
      </c>
    </row>
    <row r="8" spans="1:4" x14ac:dyDescent="0.35">
      <c r="A8" s="9" t="s">
        <v>117</v>
      </c>
      <c r="B8" s="7">
        <v>3</v>
      </c>
      <c r="C8" s="7"/>
      <c r="D8" s="7">
        <v>35.870000000000005</v>
      </c>
    </row>
    <row r="9" spans="1:4" x14ac:dyDescent="0.35">
      <c r="A9" s="9" t="s">
        <v>87</v>
      </c>
      <c r="B9" s="7">
        <v>52</v>
      </c>
      <c r="C9" s="7">
        <v>9962</v>
      </c>
      <c r="D9" s="7">
        <v>34.03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Bets</vt:lpstr>
      <vt:lpstr>Pivot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jewart45@gmail.com</dc:creator>
  <cp:lastModifiedBy>jewart45@gmail.com</cp:lastModifiedBy>
  <dcterms:created xsi:type="dcterms:W3CDTF">2016-12-22T18:48:33Z</dcterms:created>
  <dcterms:modified xsi:type="dcterms:W3CDTF">2018-01-28T11:43:42Z</dcterms:modified>
</cp:coreProperties>
</file>